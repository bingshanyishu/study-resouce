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026"/>
  <workbookPr codeName="ThisWorkbook"/>
  <mc:AlternateContent xmlns:mc="http://schemas.openxmlformats.org/markup-compatibility/2006">
    <mc:Choice Requires="x15">
      <x15ac:absPath xmlns:x15ac="http://schemas.microsoft.com/office/spreadsheetml/2010/11/ac" url="F:\05 逻辑函数1\"/>
    </mc:Choice>
  </mc:AlternateContent>
  <xr:revisionPtr revIDLastSave="0" documentId="13_ncr:9_{862496AA-5110-4023-8405-3C3173125BF8}" xr6:coauthVersionLast="47" xr6:coauthVersionMax="47" xr10:uidLastSave="{00000000-0000-0000-0000-000000000000}"/>
  <bookViews>
    <workbookView xWindow="22932" yWindow="-96" windowWidth="23256" windowHeight="13176" tabRatio="980" xr2:uid="{00000000-000D-0000-FFFF-FFFF00000000}"/>
  </bookViews>
  <sheets>
    <sheet name="VLOOKUP" sheetId="13" r:id="rId1"/>
  </sheets>
  <definedNames>
    <definedName name="名单">#REF!</definedName>
    <definedName name="照片">INDEX(#REF!,MATCH(#REF!,#REF!,))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25" i="13" l="1"/>
  <c r="J24" i="13"/>
  <c r="J23" i="13"/>
  <c r="J22" i="13"/>
  <c r="J21" i="13"/>
  <c r="J20" i="13"/>
  <c r="J19" i="13"/>
  <c r="J18" i="13"/>
  <c r="G12" i="13"/>
  <c r="E12" i="13"/>
  <c r="I12" i="13" s="1"/>
  <c r="C27" i="13" s="1"/>
</calcChain>
</file>

<file path=xl/sharedStrings.xml><?xml version="1.0" encoding="utf-8"?>
<sst xmlns="http://schemas.openxmlformats.org/spreadsheetml/2006/main" count="33" uniqueCount="33">
  <si>
    <t>VLOOKUP函数动态图解</t>
  </si>
  <si>
    <t>VLOOKUP(lookup_value, table_array, col_index_num, [range_lookup])</t>
  </si>
  <si>
    <t>VLOOKUP(线索, 目标区域, 目标在目标区域第几列, 匹配方式)</t>
  </si>
  <si>
    <t>col_index_num：</t>
  </si>
  <si>
    <t>如果 col_index_num ：小于 1，VLOOKUP 返回错误值 #VALUE!。大于 table_array 的列数，VLOOKUP 返回错误值 #REF!</t>
  </si>
  <si>
    <t xml:space="preserve"> [range_lookup]：</t>
  </si>
  <si>
    <r>
      <rPr>
        <sz val="14"/>
        <color theme="1"/>
        <rFont val="微软雅黑"/>
        <family val="2"/>
        <charset val="134"/>
      </rPr>
      <t>如果为</t>
    </r>
    <r>
      <rPr>
        <sz val="14"/>
        <color theme="1"/>
        <rFont val="Arial"/>
        <family val="2"/>
      </rPr>
      <t xml:space="preserve"> TRUE </t>
    </r>
    <r>
      <rPr>
        <sz val="14"/>
        <color theme="1"/>
        <rFont val="微软雅黑"/>
        <family val="2"/>
        <charset val="134"/>
      </rPr>
      <t>或省略，则返回精确匹配值或近似匹配值。如果找不到精确匹配值，则返回</t>
    </r>
    <r>
      <rPr>
        <sz val="14"/>
        <color rgb="FFFF0000"/>
        <rFont val="微软雅黑"/>
        <family val="2"/>
        <charset val="134"/>
      </rPr>
      <t>小于</t>
    </r>
    <r>
      <rPr>
        <sz val="14"/>
        <color rgb="FFFF0000"/>
        <rFont val="Arial"/>
        <family val="2"/>
      </rPr>
      <t xml:space="preserve"> lookup_value </t>
    </r>
    <r>
      <rPr>
        <sz val="14"/>
        <color rgb="FFFF0000"/>
        <rFont val="微软雅黑"/>
        <family val="2"/>
        <charset val="134"/>
      </rPr>
      <t>的最大数值</t>
    </r>
  </si>
  <si>
    <r>
      <rPr>
        <sz val="14"/>
        <color theme="1"/>
        <rFont val="思源黑体 Regular"/>
        <family val="2"/>
        <scheme val="major"/>
      </rPr>
      <t xml:space="preserve">table_array </t>
    </r>
    <r>
      <rPr>
        <sz val="14"/>
        <color theme="1"/>
        <rFont val="微软雅黑"/>
        <family val="2"/>
        <charset val="134"/>
      </rPr>
      <t>第一列中的值必须以升序排序；否则</t>
    </r>
    <r>
      <rPr>
        <sz val="14"/>
        <color theme="1"/>
        <rFont val="Arial"/>
        <family val="2"/>
      </rPr>
      <t xml:space="preserve"> VLOOKUP </t>
    </r>
    <r>
      <rPr>
        <sz val="14"/>
        <color theme="1"/>
        <rFont val="微软雅黑"/>
        <family val="2"/>
        <charset val="134"/>
      </rPr>
      <t>可能无法返回正确的值</t>
    </r>
  </si>
  <si>
    <t>如果为 FALSE，VLOOKUP 将只寻找精确匹配值。table_array 第一列的值不需要排序。如果 table_array 第一列中有两个或多个值</t>
  </si>
  <si>
    <r>
      <rPr>
        <sz val="14"/>
        <color theme="1"/>
        <rFont val="思源黑体 Regular"/>
        <family val="2"/>
        <scheme val="major"/>
      </rPr>
      <t>与 lookup_value 匹配，则使用</t>
    </r>
    <r>
      <rPr>
        <sz val="14"/>
        <color rgb="FFFF0000"/>
        <rFont val="思源黑体 Regular"/>
        <family val="2"/>
        <scheme val="major"/>
      </rPr>
      <t>第一个找到的值</t>
    </r>
  </si>
  <si>
    <t>=VLOOKUP(E7,D13:J21,G6,0)</t>
  </si>
  <si>
    <t>部门</t>
  </si>
  <si>
    <t>姓名</t>
  </si>
  <si>
    <t>基本工资</t>
  </si>
  <si>
    <t>绩效奖</t>
  </si>
  <si>
    <t>加班费</t>
  </si>
  <si>
    <t>总工资</t>
  </si>
  <si>
    <t>财务部</t>
  </si>
  <si>
    <t>马岱</t>
  </si>
  <si>
    <t>人力部</t>
  </si>
  <si>
    <t>黄月英</t>
  </si>
  <si>
    <t>行政部</t>
  </si>
  <si>
    <t>黄忠</t>
  </si>
  <si>
    <t>销售部</t>
  </si>
  <si>
    <t>黄盖</t>
  </si>
  <si>
    <t>后勤部</t>
  </si>
  <si>
    <t>孙乾</t>
  </si>
  <si>
    <t>教学部</t>
  </si>
  <si>
    <t>许褚</t>
  </si>
  <si>
    <t>研发部</t>
  </si>
  <si>
    <t>张飞</t>
  </si>
  <si>
    <t>教研部</t>
  </si>
  <si>
    <t>黄承彦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</si>
</sst>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_(* #,##0.00_);_(* \(#,##0.00\);_(* &quot;-&quot;??_);_(@_)"/>
  </numFmts>
  <fonts count="15">
    <font>
      <sz val="12"/>
      <color theme="1"/>
      <name val="Arial Unicode MS"/>
      <charset val="134"/>
    </font>
    <font>
      <sz val="14"/>
      <color theme="1"/>
      <name val="思源黑体 Regular"/>
      <family val="2"/>
      <scheme val="major"/>
    </font>
    <font>
      <sz val="26"/>
      <color theme="1"/>
      <name val="思源黑体 Regular"/>
      <family val="2"/>
      <scheme val="major"/>
    </font>
    <font>
      <sz val="14"/>
      <color theme="1"/>
      <name val="思源黑体 Regular"/>
      <family val="2"/>
    </font>
    <font>
      <b/>
      <sz val="14"/>
      <color theme="1"/>
      <name val="思源黑体 Regular"/>
      <family val="2"/>
      <scheme val="major"/>
    </font>
    <font>
      <sz val="14"/>
      <color theme="0"/>
      <name val="思源黑体 Regular"/>
      <family val="2"/>
      <scheme val="major"/>
    </font>
    <font>
      <sz val="22"/>
      <color theme="1"/>
      <name val="思源黑体 Regular"/>
      <family val="2"/>
      <scheme val="major"/>
    </font>
    <font>
      <sz val="20"/>
      <color theme="1"/>
      <name val="思源黑体 Regular"/>
      <family val="2"/>
      <scheme val="major"/>
    </font>
    <font>
      <sz val="14"/>
      <color theme="1"/>
      <name val="微软雅黑"/>
      <family val="2"/>
      <charset val="134"/>
    </font>
    <font>
      <sz val="14"/>
      <color theme="1"/>
      <name val="Arial"/>
      <family val="2"/>
    </font>
    <font>
      <sz val="14"/>
      <color rgb="FFFF0000"/>
      <name val="微软雅黑"/>
      <family val="2"/>
      <charset val="134"/>
    </font>
    <font>
      <sz val="14"/>
      <color rgb="FFFF0000"/>
      <name val="Arial"/>
      <family val="2"/>
    </font>
    <font>
      <sz val="14"/>
      <color rgb="FFFF0000"/>
      <name val="思源黑体 Regular"/>
      <family val="2"/>
      <scheme val="major"/>
    </font>
    <font>
      <sz val="12"/>
      <color theme="1"/>
      <name val="Arial Unicode MS"/>
      <charset val="134"/>
    </font>
    <font>
      <sz val="9"/>
      <name val="Arial Unicode MS"/>
      <charset val="134"/>
    </font>
  </fonts>
  <fills count="4">
    <fill>
      <patternFill patternType="none"/>
    </fill>
    <fill>
      <patternFill patternType="gray125"/>
    </fill>
    <fill>
      <patternFill patternType="solid">
        <fgColor theme="5"/>
        <bgColor indexed="64"/>
      </patternFill>
    </fill>
    <fill>
      <patternFill patternType="solid">
        <fgColor theme="4"/>
        <bgColor indexed="64"/>
      </patternFill>
    </fill>
  </fills>
  <borders count="12">
    <border>
      <left/>
      <right/>
      <top/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/>
      <right/>
      <top/>
      <bottom style="double">
        <color auto="1"/>
      </bottom>
      <diagonal/>
    </border>
    <border>
      <left style="thin">
        <color theme="4"/>
      </left>
      <right style="thin">
        <color theme="4"/>
      </right>
      <top style="thin">
        <color theme="4"/>
      </top>
      <bottom/>
      <diagonal/>
    </border>
    <border>
      <left style="thick">
        <color rgb="FFFF0000"/>
      </left>
      <right style="thin">
        <color theme="4"/>
      </right>
      <top style="thick">
        <color rgb="FFFF0000"/>
      </top>
      <bottom style="thin">
        <color theme="4"/>
      </bottom>
      <diagonal/>
    </border>
    <border>
      <left style="thin">
        <color theme="4"/>
      </left>
      <right style="thin">
        <color theme="4"/>
      </right>
      <top style="thick">
        <color rgb="FFFF0000"/>
      </top>
      <bottom style="thin">
        <color theme="4"/>
      </bottom>
      <diagonal/>
    </border>
    <border>
      <left style="thick">
        <color rgb="FFFF0000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ck">
        <color rgb="FFFF0000"/>
      </left>
      <right style="thin">
        <color theme="4"/>
      </right>
      <top style="thin">
        <color theme="4"/>
      </top>
      <bottom style="thick">
        <color rgb="FFFF0000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thick">
        <color rgb="FFFF0000"/>
      </bottom>
      <diagonal/>
    </border>
    <border>
      <left style="thin">
        <color theme="4"/>
      </left>
      <right style="thick">
        <color rgb="FFFF0000"/>
      </right>
      <top style="thick">
        <color rgb="FFFF0000"/>
      </top>
      <bottom style="thin">
        <color theme="4"/>
      </bottom>
      <diagonal/>
    </border>
    <border>
      <left style="thin">
        <color theme="4"/>
      </left>
      <right style="thick">
        <color rgb="FFFF0000"/>
      </right>
      <top style="thin">
        <color theme="4"/>
      </top>
      <bottom style="thin">
        <color theme="4"/>
      </bottom>
      <diagonal/>
    </border>
    <border>
      <left style="thin">
        <color theme="4"/>
      </left>
      <right style="thick">
        <color rgb="FFFF0000"/>
      </right>
      <top style="thin">
        <color theme="4"/>
      </top>
      <bottom style="thick">
        <color rgb="FFFF0000"/>
      </bottom>
      <diagonal/>
    </border>
  </borders>
  <cellStyleXfs count="3">
    <xf numFmtId="0" fontId="0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</cellStyleXfs>
  <cellXfs count="26">
    <xf numFmtId="0" fontId="0" fillId="0" borderId="0" xfId="0">
      <alignment vertical="center"/>
    </xf>
    <xf numFmtId="0" fontId="1" fillId="0" borderId="2" xfId="0" applyFont="1" applyBorder="1">
      <alignment vertical="center"/>
    </xf>
    <xf numFmtId="0" fontId="1" fillId="0" borderId="0" xfId="0" applyFont="1">
      <alignment vertical="center"/>
    </xf>
    <xf numFmtId="0" fontId="2" fillId="0" borderId="2" xfId="0" applyFont="1" applyBorder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5" fillId="3" borderId="1" xfId="0" applyFont="1" applyFill="1" applyBorder="1" applyAlignment="1">
      <alignment horizontal="center" vertical="center"/>
    </xf>
    <xf numFmtId="0" fontId="6" fillId="0" borderId="0" xfId="0" applyFont="1">
      <alignment vertical="center"/>
    </xf>
    <xf numFmtId="0" fontId="7" fillId="0" borderId="0" xfId="0" quotePrefix="1" applyFont="1">
      <alignment vertical="center"/>
    </xf>
    <xf numFmtId="0" fontId="5" fillId="2" borderId="3" xfId="0" applyFont="1" applyFill="1" applyBorder="1" applyAlignment="1" applyProtection="1">
      <alignment horizontal="center" vertical="center"/>
      <protection hidden="1"/>
    </xf>
    <xf numFmtId="0" fontId="1" fillId="0" borderId="0" xfId="0" applyFont="1" applyProtection="1">
      <alignment vertical="center"/>
      <protection hidden="1"/>
    </xf>
    <xf numFmtId="0" fontId="1" fillId="0" borderId="4" xfId="0" applyFont="1" applyBorder="1" applyAlignment="1" applyProtection="1">
      <alignment horizontal="center" vertical="center"/>
      <protection hidden="1"/>
    </xf>
    <xf numFmtId="0" fontId="1" fillId="0" borderId="5" xfId="0" applyFont="1" applyBorder="1" applyAlignment="1" applyProtection="1">
      <alignment horizontal="center" vertical="center"/>
      <protection hidden="1"/>
    </xf>
    <xf numFmtId="14" fontId="1" fillId="0" borderId="5" xfId="0" applyNumberFormat="1" applyFont="1" applyBorder="1" applyAlignment="1" applyProtection="1">
      <alignment horizontal="center" vertical="center"/>
      <protection hidden="1"/>
    </xf>
    <xf numFmtId="0" fontId="1" fillId="0" borderId="5" xfId="1" applyNumberFormat="1" applyFont="1" applyFill="1" applyBorder="1" applyAlignment="1" applyProtection="1">
      <alignment horizontal="center" vertical="center"/>
      <protection hidden="1"/>
    </xf>
    <xf numFmtId="0" fontId="1" fillId="0" borderId="9" xfId="0" applyFont="1" applyBorder="1" applyAlignment="1" applyProtection="1">
      <alignment horizontal="center" vertical="center"/>
      <protection hidden="1"/>
    </xf>
    <xf numFmtId="0" fontId="1" fillId="0" borderId="6" xfId="0" applyFont="1" applyBorder="1" applyAlignment="1" applyProtection="1">
      <alignment horizontal="center" vertical="center"/>
      <protection hidden="1"/>
    </xf>
    <xf numFmtId="0" fontId="1" fillId="0" borderId="1" xfId="0" applyFont="1" applyBorder="1" applyAlignment="1" applyProtection="1">
      <alignment horizontal="center" vertical="center"/>
      <protection hidden="1"/>
    </xf>
    <xf numFmtId="14" fontId="1" fillId="0" borderId="1" xfId="0" applyNumberFormat="1" applyFont="1" applyBorder="1" applyAlignment="1" applyProtection="1">
      <alignment horizontal="center" vertical="center"/>
      <protection hidden="1"/>
    </xf>
    <xf numFmtId="0" fontId="1" fillId="0" borderId="1" xfId="1" applyNumberFormat="1" applyFont="1" applyFill="1" applyBorder="1" applyAlignment="1" applyProtection="1">
      <alignment horizontal="center" vertical="center"/>
      <protection hidden="1"/>
    </xf>
    <xf numFmtId="0" fontId="1" fillId="0" borderId="10" xfId="0" applyFont="1" applyBorder="1" applyAlignment="1" applyProtection="1">
      <alignment horizontal="center" vertical="center"/>
      <protection hidden="1"/>
    </xf>
    <xf numFmtId="0" fontId="1" fillId="0" borderId="7" xfId="0" applyFont="1" applyBorder="1" applyAlignment="1" applyProtection="1">
      <alignment horizontal="center" vertical="center"/>
      <protection hidden="1"/>
    </xf>
    <xf numFmtId="0" fontId="1" fillId="0" borderId="8" xfId="0" applyFont="1" applyBorder="1" applyAlignment="1" applyProtection="1">
      <alignment horizontal="center" vertical="center"/>
      <protection hidden="1"/>
    </xf>
    <xf numFmtId="14" fontId="1" fillId="0" borderId="8" xfId="0" applyNumberFormat="1" applyFont="1" applyBorder="1" applyAlignment="1" applyProtection="1">
      <alignment horizontal="center" vertical="center"/>
      <protection hidden="1"/>
    </xf>
    <xf numFmtId="0" fontId="1" fillId="0" borderId="8" xfId="1" applyNumberFormat="1" applyFont="1" applyFill="1" applyBorder="1" applyAlignment="1" applyProtection="1">
      <alignment horizontal="center" vertical="center"/>
      <protection hidden="1"/>
    </xf>
    <xf numFmtId="0" fontId="1" fillId="0" borderId="11" xfId="0" applyFont="1" applyBorder="1" applyAlignment="1" applyProtection="1">
      <alignment horizontal="center" vertical="center"/>
      <protection hidden="1"/>
    </xf>
  </cellXfs>
  <cellStyles count="3">
    <cellStyle name="常规" xfId="0" builtinId="0"/>
    <cellStyle name="常规 2" xfId="2" xr:uid="{00000000-0005-0000-0000-000031000000}"/>
    <cellStyle name="千位分隔" xfId="1" builtinId="3"/>
  </cellStyles>
  <dxfs count="6">
    <dxf>
      <fill>
        <patternFill patternType="solid">
          <bgColor theme="0" tint="-0.14993743705557422"/>
        </patternFill>
      </fill>
    </dxf>
    <dxf>
      <fill>
        <patternFill patternType="solid">
          <bgColor theme="0" tint="-0.14993743705557422"/>
        </patternFill>
      </fill>
    </dxf>
    <dxf>
      <font>
        <color theme="0"/>
      </font>
      <fill>
        <patternFill patternType="solid">
          <bgColor theme="1"/>
        </patternFill>
      </fill>
    </dxf>
    <dxf>
      <font>
        <color theme="0"/>
      </font>
      <fill>
        <patternFill patternType="solid">
          <bgColor theme="1"/>
        </patternFill>
      </fill>
    </dxf>
    <dxf>
      <font>
        <b/>
        <i val="0"/>
        <color rgb="FFFF0000"/>
      </font>
    </dxf>
    <dxf>
      <font>
        <color theme="0"/>
      </font>
      <fill>
        <patternFill patternType="solid">
          <bgColor theme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9</xdr:row>
          <xdr:rowOff>19050</xdr:rowOff>
        </xdr:from>
        <xdr:to>
          <xdr:col>6</xdr:col>
          <xdr:colOff>828675</xdr:colOff>
          <xdr:row>10</xdr:row>
          <xdr:rowOff>104775</xdr:rowOff>
        </xdr:to>
        <xdr:sp macro="" textlink="">
          <xdr:nvSpPr>
            <xdr:cNvPr id="9226" name="SpinButton1" hidden="1">
              <a:extLst>
                <a:ext uri="{63B3BB69-23CF-44E3-9099-C40C66FF867C}">
                  <a14:compatExt spid="_x0000_s9226"/>
                </a:ext>
                <a:ext uri="{FF2B5EF4-FFF2-40B4-BE49-F238E27FC236}">
                  <a16:creationId xmlns:a16="http://schemas.microsoft.com/office/drawing/2014/main" id="{00000000-0008-0000-0000-00000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352425</xdr:colOff>
          <xdr:row>10</xdr:row>
          <xdr:rowOff>257175</xdr:rowOff>
        </xdr:from>
        <xdr:to>
          <xdr:col>3</xdr:col>
          <xdr:colOff>828675</xdr:colOff>
          <xdr:row>13</xdr:row>
          <xdr:rowOff>47625</xdr:rowOff>
        </xdr:to>
        <xdr:sp macro="" textlink="">
          <xdr:nvSpPr>
            <xdr:cNvPr id="9227" name="SpinButton2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:a16="http://schemas.microsoft.com/office/drawing/2014/main" id="{00000000-0008-0000-00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447482</xdr:colOff>
      <xdr:row>14</xdr:row>
      <xdr:rowOff>198881</xdr:rowOff>
    </xdr:from>
    <xdr:to>
      <xdr:col>7</xdr:col>
      <xdr:colOff>605683</xdr:colOff>
      <xdr:row>15</xdr:row>
      <xdr:rowOff>398666</xdr:rowOff>
    </xdr:to>
    <xdr:sp macro="" textlink="">
      <xdr:nvSpPr>
        <xdr:cNvPr id="5" name="箭头: 右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2904490" y="4601845"/>
          <a:ext cx="3549015" cy="43497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600"/>
            <a:t>查找方向</a:t>
          </a:r>
        </a:p>
      </xdr:txBody>
    </xdr:sp>
    <xdr:clientData/>
  </xdr:twoCellAnchor>
  <xdr:twoCellAnchor>
    <xdr:from>
      <xdr:col>12</xdr:col>
      <xdr:colOff>453358</xdr:colOff>
      <xdr:row>10</xdr:row>
      <xdr:rowOff>399570</xdr:rowOff>
    </xdr:from>
    <xdr:to>
      <xdr:col>14</xdr:col>
      <xdr:colOff>69157</xdr:colOff>
      <xdr:row>12</xdr:row>
      <xdr:rowOff>23052</xdr:rowOff>
    </xdr:to>
    <xdr:sp macro="" textlink="">
      <xdr:nvSpPr>
        <xdr:cNvPr id="19" name="矩形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10130155" y="3452495"/>
          <a:ext cx="930275" cy="339725"/>
        </a:xfrm>
        <a:prstGeom prst="rect">
          <a:avLst/>
        </a:prstGeom>
        <a:noFill/>
        <a:ln w="1905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endParaRPr lang="zh-CN" altLang="en-US"/>
        </a:p>
      </xdr:txBody>
    </xdr:sp>
    <xdr:clientData/>
  </xdr:twoCellAnchor>
  <xdr:twoCellAnchor>
    <xdr:from>
      <xdr:col>10</xdr:col>
      <xdr:colOff>23056</xdr:colOff>
      <xdr:row>12</xdr:row>
      <xdr:rowOff>107578</xdr:rowOff>
    </xdr:from>
    <xdr:to>
      <xdr:col>13</xdr:col>
      <xdr:colOff>230522</xdr:colOff>
      <xdr:row>20</xdr:row>
      <xdr:rowOff>385193</xdr:rowOff>
    </xdr:to>
    <xdr:cxnSp macro="">
      <xdr:nvCxnSpPr>
        <xdr:cNvPr id="20" name="形状 21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CxnSpPr/>
      </xdr:nvCxnSpPr>
      <xdr:spPr>
        <a:xfrm rot="5400000">
          <a:off x="8042910" y="4219575"/>
          <a:ext cx="2864485" cy="2179320"/>
        </a:xfrm>
        <a:prstGeom prst="bentConnector3">
          <a:avLst>
            <a:gd name="adj1" fmla="val 99984"/>
          </a:avLst>
        </a:prstGeom>
        <a:ln w="15875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491782</xdr:colOff>
      <xdr:row>12</xdr:row>
      <xdr:rowOff>15368</xdr:rowOff>
    </xdr:from>
    <xdr:to>
      <xdr:col>11</xdr:col>
      <xdr:colOff>345781</xdr:colOff>
      <xdr:row>13</xdr:row>
      <xdr:rowOff>222835</xdr:rowOff>
    </xdr:to>
    <xdr:grpSp>
      <xdr:nvGrpSpPr>
        <xdr:cNvPr id="28" name="组合 22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GrpSpPr/>
      </xdr:nvGrpSpPr>
      <xdr:grpSpPr>
        <a:xfrm>
          <a:off x="3806482" y="3760598"/>
          <a:ext cx="5561379" cy="517982"/>
          <a:chOff x="1920635" y="1684307"/>
          <a:chExt cx="3569808" cy="185468"/>
        </a:xfrm>
      </xdr:grpSpPr>
      <xdr:cxnSp macro="">
        <xdr:nvCxnSpPr>
          <xdr:cNvPr id="29" name="直接连接符 28">
            <a:extLst>
              <a:ext uri="{FF2B5EF4-FFF2-40B4-BE49-F238E27FC236}">
                <a16:creationId xmlns:a16="http://schemas.microsoft.com/office/drawing/2014/main" id="{00000000-0008-0000-0000-00001D000000}"/>
              </a:ext>
            </a:extLst>
          </xdr:cNvPr>
          <xdr:cNvCxnSpPr/>
        </xdr:nvCxnSpPr>
        <xdr:spPr>
          <a:xfrm>
            <a:off x="1920635" y="1869775"/>
            <a:ext cx="3569808" cy="0"/>
          </a:xfrm>
          <a:prstGeom prst="line">
            <a:avLst/>
          </a:prstGeom>
          <a:ln w="15875">
            <a:solidFill>
              <a:srgbClr val="FF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0" name="直接连接符 29">
            <a:extLst>
              <a:ext uri="{FF2B5EF4-FFF2-40B4-BE49-F238E27FC236}">
                <a16:creationId xmlns:a16="http://schemas.microsoft.com/office/drawing/2014/main" id="{00000000-0008-0000-0000-00001E000000}"/>
              </a:ext>
            </a:extLst>
          </xdr:cNvPr>
          <xdr:cNvCxnSpPr/>
        </xdr:nvCxnSpPr>
        <xdr:spPr>
          <a:xfrm rot="5400000">
            <a:off x="5391522" y="1777041"/>
            <a:ext cx="185468" cy="0"/>
          </a:xfrm>
          <a:prstGeom prst="line">
            <a:avLst/>
          </a:prstGeom>
          <a:ln w="15875">
            <a:solidFill>
              <a:srgbClr val="FF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1" name="直接连接符 30">
            <a:extLst>
              <a:ext uri="{FF2B5EF4-FFF2-40B4-BE49-F238E27FC236}">
                <a16:creationId xmlns:a16="http://schemas.microsoft.com/office/drawing/2014/main" id="{00000000-0008-0000-0000-00001F000000}"/>
              </a:ext>
            </a:extLst>
          </xdr:cNvPr>
          <xdr:cNvCxnSpPr/>
        </xdr:nvCxnSpPr>
        <xdr:spPr>
          <a:xfrm rot="5400000">
            <a:off x="1849543" y="1792497"/>
            <a:ext cx="154557" cy="0"/>
          </a:xfrm>
          <a:prstGeom prst="line">
            <a:avLst/>
          </a:prstGeom>
          <a:ln w="15875">
            <a:solidFill>
              <a:srgbClr val="FF0000"/>
            </a:solidFill>
            <a:headEnd type="triangle"/>
            <a:tailEnd type="non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27118</xdr:colOff>
      <xdr:row>10</xdr:row>
      <xdr:rowOff>226000</xdr:rowOff>
    </xdr:from>
    <xdr:to>
      <xdr:col>14</xdr:col>
      <xdr:colOff>334481</xdr:colOff>
      <xdr:row>10</xdr:row>
      <xdr:rowOff>388721</xdr:rowOff>
    </xdr:to>
    <xdr:grpSp>
      <xdr:nvGrpSpPr>
        <xdr:cNvPr id="32" name="组合 23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GrpSpPr/>
      </xdr:nvGrpSpPr>
      <xdr:grpSpPr>
        <a:xfrm>
          <a:off x="5881183" y="3342580"/>
          <a:ext cx="5443243" cy="84616"/>
          <a:chOff x="2826517" y="1250185"/>
          <a:chExt cx="3766852" cy="219163"/>
        </a:xfrm>
      </xdr:grpSpPr>
      <xdr:cxnSp macro="">
        <xdr:nvCxnSpPr>
          <xdr:cNvPr id="33" name="直接连接符 32">
            <a:extLst>
              <a:ext uri="{FF2B5EF4-FFF2-40B4-BE49-F238E27FC236}">
                <a16:creationId xmlns:a16="http://schemas.microsoft.com/office/drawing/2014/main" id="{00000000-0008-0000-0000-000021000000}"/>
              </a:ext>
            </a:extLst>
          </xdr:cNvPr>
          <xdr:cNvCxnSpPr/>
        </xdr:nvCxnSpPr>
        <xdr:spPr>
          <a:xfrm>
            <a:off x="2826517" y="1258302"/>
            <a:ext cx="3766852" cy="0"/>
          </a:xfrm>
          <a:prstGeom prst="line">
            <a:avLst/>
          </a:prstGeom>
          <a:ln w="19050">
            <a:solidFill>
              <a:srgbClr val="FF0000"/>
            </a:solidFill>
            <a:head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4" name="直接连接符 33">
            <a:extLst>
              <a:ext uri="{FF2B5EF4-FFF2-40B4-BE49-F238E27FC236}">
                <a16:creationId xmlns:a16="http://schemas.microsoft.com/office/drawing/2014/main" id="{00000000-0008-0000-0000-000022000000}"/>
              </a:ext>
            </a:extLst>
          </xdr:cNvPr>
          <xdr:cNvCxnSpPr/>
        </xdr:nvCxnSpPr>
        <xdr:spPr>
          <a:xfrm rot="5400000">
            <a:off x="6476666" y="1359767"/>
            <a:ext cx="219163" cy="0"/>
          </a:xfrm>
          <a:prstGeom prst="line">
            <a:avLst/>
          </a:prstGeom>
          <a:ln w="15875">
            <a:solidFill>
              <a:srgbClr val="FF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theme/theme1.xml><?xml version="1.0" encoding="utf-8"?>
<a:theme xmlns:a="http://schemas.openxmlformats.org/drawingml/2006/main" name="样式1">
  <a:themeElements>
    <a:clrScheme name="蓝色暖调">
      <a:dk1>
        <a:sysClr val="windowText" lastClr="000000"/>
      </a:dk1>
      <a:lt1>
        <a:sysClr val="window" lastClr="FFFFFF"/>
      </a:lt1>
      <a:dk2>
        <a:srgbClr val="242852"/>
      </a:dk2>
      <a:lt2>
        <a:srgbClr val="ACCBF9"/>
      </a:lt2>
      <a:accent1>
        <a:srgbClr val="4A66AC"/>
      </a:accent1>
      <a:accent2>
        <a:srgbClr val="629DD1"/>
      </a:accent2>
      <a:accent3>
        <a:srgbClr val="297FD5"/>
      </a:accent3>
      <a:accent4>
        <a:srgbClr val="7F8FA9"/>
      </a:accent4>
      <a:accent5>
        <a:srgbClr val="5AA2AE"/>
      </a:accent5>
      <a:accent6>
        <a:srgbClr val="9D90A0"/>
      </a:accent6>
      <a:hlink>
        <a:srgbClr val="9454C3"/>
      </a:hlink>
      <a:folHlink>
        <a:srgbClr val="3EBBF0"/>
      </a:folHlink>
    </a:clrScheme>
    <a:fontScheme name="思源">
      <a:majorFont>
        <a:latin typeface="思源黑体 Normal"/>
        <a:ea typeface="思源黑体 Regular"/>
        <a:cs typeface=""/>
      </a:majorFont>
      <a:minorFont>
        <a:latin typeface="思源黑体 Normal"/>
        <a:ea typeface="思源黑体 Regular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27"/>
  <sheetViews>
    <sheetView showGridLines="0" tabSelected="1" topLeftCell="A16" workbookViewId="0">
      <selection activeCell="M24" sqref="M24"/>
    </sheetView>
  </sheetViews>
  <sheetFormatPr defaultColWidth="0" defaultRowHeight="36.4" customHeight="1" zeroHeight="1"/>
  <cols>
    <col min="1" max="3" width="10.75" style="2" customWidth="1"/>
    <col min="4" max="9" width="11.125" style="10" customWidth="1"/>
    <col min="10" max="10" width="10.75" style="10" customWidth="1"/>
    <col min="11" max="15" width="8.625" style="10" customWidth="1"/>
    <col min="16" max="17" width="8.625" style="2" customWidth="1"/>
    <col min="18" max="16384" width="8.625" style="2" hidden="1"/>
  </cols>
  <sheetData>
    <row r="1" spans="1:11" s="1" customFormat="1" ht="36.4" customHeight="1">
      <c r="F1" s="3" t="s">
        <v>0</v>
      </c>
    </row>
    <row r="2" spans="1:11" s="2" customFormat="1" ht="25.7" customHeight="1">
      <c r="B2" s="2" t="s">
        <v>1</v>
      </c>
    </row>
    <row r="3" spans="1:11" s="2" customFormat="1" ht="23.65" customHeight="1">
      <c r="B3" s="2" t="s">
        <v>2</v>
      </c>
    </row>
    <row r="4" spans="1:11" s="2" customFormat="1" ht="9.1999999999999993" customHeight="1"/>
    <row r="5" spans="1:11" s="2" customFormat="1" ht="25.7" customHeight="1">
      <c r="A5" s="2" t="s">
        <v>3</v>
      </c>
      <c r="C5" s="2" t="s">
        <v>4</v>
      </c>
    </row>
    <row r="6" spans="1:11" s="2" customFormat="1" ht="25.7" customHeight="1">
      <c r="A6" s="2" t="s">
        <v>5</v>
      </c>
      <c r="C6" s="4" t="s">
        <v>6</v>
      </c>
    </row>
    <row r="7" spans="1:11" s="2" customFormat="1" ht="25.7" customHeight="1">
      <c r="C7" s="2" t="s">
        <v>7</v>
      </c>
    </row>
    <row r="8" spans="1:11" s="2" customFormat="1" ht="24.95" customHeight="1">
      <c r="C8" s="2" t="s">
        <v>8</v>
      </c>
    </row>
    <row r="9" spans="1:11" s="2" customFormat="1" ht="24.95" customHeight="1">
      <c r="C9" s="2" t="s">
        <v>9</v>
      </c>
    </row>
    <row r="10" spans="1:11" s="2" customFormat="1" ht="24.95" customHeight="1">
      <c r="E10" s="5"/>
    </row>
    <row r="11" spans="1:11" s="2" customFormat="1" ht="24.95" customHeight="1">
      <c r="G11" s="2">
        <v>5</v>
      </c>
    </row>
    <row r="12" spans="1:11" s="2" customFormat="1" ht="24.95" customHeight="1">
      <c r="D12" s="2">
        <v>8</v>
      </c>
      <c r="E12" s="6">
        <f>INDEX(D18:D25,9-D12)</f>
        <v>201</v>
      </c>
      <c r="G12" s="6" t="str">
        <f>INDEX(D17:J17,G11)&amp;""</f>
        <v>绩效奖</v>
      </c>
      <c r="I12" s="6">
        <f>VLOOKUP(E12,D17:J25,G11,0)</f>
        <v>1360</v>
      </c>
      <c r="K12" s="8" t="s">
        <v>10</v>
      </c>
    </row>
    <row r="13" spans="1:11" s="2" customFormat="1" ht="24.95" customHeight="1"/>
    <row r="14" spans="1:11" s="2" customFormat="1" ht="24.95" customHeight="1"/>
    <row r="15" spans="1:11" s="2" customFormat="1" ht="24.95" customHeight="1"/>
    <row r="16" spans="1:11" s="2" customFormat="1" ht="24.95" customHeight="1"/>
    <row r="17" spans="3:10" ht="26.85" customHeight="1">
      <c r="D17" s="9"/>
      <c r="E17" s="9" t="s">
        <v>11</v>
      </c>
      <c r="F17" s="9" t="s">
        <v>12</v>
      </c>
      <c r="G17" s="9" t="s">
        <v>13</v>
      </c>
      <c r="H17" s="9" t="s">
        <v>14</v>
      </c>
      <c r="I17" s="9" t="s">
        <v>15</v>
      </c>
      <c r="J17" s="9" t="s">
        <v>16</v>
      </c>
    </row>
    <row r="18" spans="3:10" ht="26.85" customHeight="1">
      <c r="D18" s="11">
        <v>201</v>
      </c>
      <c r="E18" s="12" t="s">
        <v>17</v>
      </c>
      <c r="F18" s="13" t="s">
        <v>18</v>
      </c>
      <c r="G18" s="14">
        <v>8500</v>
      </c>
      <c r="H18" s="14">
        <v>1360</v>
      </c>
      <c r="I18" s="14">
        <v>180</v>
      </c>
      <c r="J18" s="15">
        <f>SUM(G18:I18)</f>
        <v>10040</v>
      </c>
    </row>
    <row r="19" spans="3:10" ht="26.85" customHeight="1">
      <c r="D19" s="16">
        <v>202</v>
      </c>
      <c r="E19" s="17" t="s">
        <v>19</v>
      </c>
      <c r="F19" s="18" t="s">
        <v>20</v>
      </c>
      <c r="G19" s="19">
        <v>6200</v>
      </c>
      <c r="H19" s="19">
        <v>1820</v>
      </c>
      <c r="I19" s="19">
        <v>380</v>
      </c>
      <c r="J19" s="20">
        <f t="shared" ref="J19:J25" si="0">SUM(G19:I19)</f>
        <v>8400</v>
      </c>
    </row>
    <row r="20" spans="3:10" ht="26.85" customHeight="1">
      <c r="D20" s="16">
        <v>203</v>
      </c>
      <c r="E20" s="17" t="s">
        <v>21</v>
      </c>
      <c r="F20" s="18" t="s">
        <v>22</v>
      </c>
      <c r="G20" s="19">
        <v>5600</v>
      </c>
      <c r="H20" s="19">
        <v>520</v>
      </c>
      <c r="I20" s="19">
        <v>770</v>
      </c>
      <c r="J20" s="20">
        <f t="shared" si="0"/>
        <v>6890</v>
      </c>
    </row>
    <row r="21" spans="3:10" ht="26.85" customHeight="1">
      <c r="D21" s="16">
        <v>204</v>
      </c>
      <c r="E21" s="17" t="s">
        <v>23</v>
      </c>
      <c r="F21" s="18" t="s">
        <v>24</v>
      </c>
      <c r="G21" s="19">
        <v>7800</v>
      </c>
      <c r="H21" s="19">
        <v>2000</v>
      </c>
      <c r="I21" s="19">
        <v>510</v>
      </c>
      <c r="J21" s="20">
        <f t="shared" si="0"/>
        <v>10310</v>
      </c>
    </row>
    <row r="22" spans="3:10" ht="26.85" customHeight="1">
      <c r="D22" s="16">
        <v>205</v>
      </c>
      <c r="E22" s="17" t="s">
        <v>25</v>
      </c>
      <c r="F22" s="18" t="s">
        <v>26</v>
      </c>
      <c r="G22" s="19">
        <v>4500</v>
      </c>
      <c r="H22" s="19">
        <v>650</v>
      </c>
      <c r="I22" s="19">
        <v>440</v>
      </c>
      <c r="J22" s="20">
        <f t="shared" si="0"/>
        <v>5590</v>
      </c>
    </row>
    <row r="23" spans="3:10" ht="26.85" customHeight="1">
      <c r="D23" s="16">
        <v>206</v>
      </c>
      <c r="E23" s="17" t="s">
        <v>27</v>
      </c>
      <c r="F23" s="18" t="s">
        <v>28</v>
      </c>
      <c r="G23" s="19">
        <v>8200</v>
      </c>
      <c r="H23" s="19">
        <v>900</v>
      </c>
      <c r="I23" s="19">
        <v>620</v>
      </c>
      <c r="J23" s="20">
        <f t="shared" si="0"/>
        <v>9720</v>
      </c>
    </row>
    <row r="24" spans="3:10" ht="26.85" customHeight="1">
      <c r="D24" s="16">
        <v>207</v>
      </c>
      <c r="E24" s="17" t="s">
        <v>29</v>
      </c>
      <c r="F24" s="18" t="s">
        <v>30</v>
      </c>
      <c r="G24" s="19">
        <v>7900</v>
      </c>
      <c r="H24" s="19">
        <v>1520</v>
      </c>
      <c r="I24" s="19">
        <v>250</v>
      </c>
      <c r="J24" s="20">
        <f t="shared" si="0"/>
        <v>9670</v>
      </c>
    </row>
    <row r="25" spans="3:10" ht="26.85" customHeight="1">
      <c r="D25" s="21">
        <v>208</v>
      </c>
      <c r="E25" s="22" t="s">
        <v>31</v>
      </c>
      <c r="F25" s="23" t="s">
        <v>32</v>
      </c>
      <c r="G25" s="24">
        <v>6600</v>
      </c>
      <c r="H25" s="24">
        <v>910</v>
      </c>
      <c r="I25" s="24">
        <v>170</v>
      </c>
      <c r="J25" s="25">
        <f t="shared" si="0"/>
        <v>7680</v>
      </c>
    </row>
    <row r="26" spans="3:10" ht="26.85" customHeight="1">
      <c r="D26" s="10">
        <v>1</v>
      </c>
      <c r="E26" s="10">
        <v>2</v>
      </c>
      <c r="F26" s="10">
        <v>3</v>
      </c>
      <c r="G26" s="10">
        <v>4</v>
      </c>
      <c r="H26" s="10">
        <v>5</v>
      </c>
      <c r="I26" s="10">
        <v>6</v>
      </c>
      <c r="J26" s="10">
        <v>7</v>
      </c>
    </row>
    <row r="27" spans="3:10" ht="36.4" customHeight="1">
      <c r="C27" s="7" t="str">
        <f>"公式解释：在"&amp;MID(K12,13,7)&amp;"范围内查找首列等于 "&amp;E12&amp;" 对应第 "&amp;G11&amp;" 列的值。结果为："&amp;I12</f>
        <v>公式解释：在D13:J21范围内查找首列等于 201 对应第 5 列的值。结果为：1360</v>
      </c>
    </row>
  </sheetData>
  <sheetProtection algorithmName="SHA-512" hashValue="VzmqC5r9b+F7AUYVnA4SSRjh6Tm9A0pt9mozYpbt9qkQF0yt/pe7ZDP4SOveqfX4AlK2f1g6wU2BBoqZBvBRyA==" saltValue="sKF9bRKgDOS0XC4RC7eN1w==" spinCount="100000" sheet="1" objects="1" scenarios="1"/>
  <phoneticPr fontId="14" type="noConversion"/>
  <conditionalFormatting sqref="E17:J17">
    <cfRule type="expression" dxfId="5" priority="1">
      <formula>$G$12=E17</formula>
    </cfRule>
  </conditionalFormatting>
  <conditionalFormatting sqref="D26:J26">
    <cfRule type="expression" dxfId="4" priority="6">
      <formula>$G$11=D26</formula>
    </cfRule>
  </conditionalFormatting>
  <conditionalFormatting sqref="D18:D25">
    <cfRule type="expression" dxfId="3" priority="4">
      <formula>D18=$E$12</formula>
    </cfRule>
  </conditionalFormatting>
  <conditionalFormatting sqref="E18:J25">
    <cfRule type="expression" dxfId="2" priority="7">
      <formula>E18=$I$12</formula>
    </cfRule>
    <cfRule type="expression" dxfId="1" priority="8">
      <formula>E$17=$G$12</formula>
    </cfRule>
    <cfRule type="expression" dxfId="0" priority="9">
      <formula>$E$12=$D18</formula>
    </cfRule>
  </conditionalFormatting>
  <pageMargins left="0.7" right="0.7" top="0.75" bottom="0.75" header="0.3" footer="0.3"/>
  <pageSetup paperSize="9" orientation="portrait"/>
  <drawing r:id="rId1"/>
  <legacyDrawing r:id="rId2"/>
  <controls>
    <mc:AlternateContent xmlns:mc="http://schemas.openxmlformats.org/markup-compatibility/2006">
      <mc:Choice Requires="x14">
        <control shapeId="9227" r:id="rId3" name="SpinButton2">
          <controlPr defaultSize="0" altText="" linkedCell="D12" r:id="rId4">
            <anchor moveWithCells="1">
              <from>
                <xdr:col>3</xdr:col>
                <xdr:colOff>352425</xdr:colOff>
                <xdr:row>10</xdr:row>
                <xdr:rowOff>257175</xdr:rowOff>
              </from>
              <to>
                <xdr:col>3</xdr:col>
                <xdr:colOff>828675</xdr:colOff>
                <xdr:row>13</xdr:row>
                <xdr:rowOff>57150</xdr:rowOff>
              </to>
            </anchor>
          </controlPr>
        </control>
      </mc:Choice>
      <mc:Fallback>
        <control shapeId="9227" r:id="rId3" name="SpinButton2"/>
      </mc:Fallback>
    </mc:AlternateContent>
    <mc:AlternateContent xmlns:mc="http://schemas.openxmlformats.org/markup-compatibility/2006">
      <mc:Choice Requires="x14">
        <control shapeId="9226" r:id="rId5" name="SpinButton1">
          <controlPr defaultSize="0" altText="" linkedCell="G11" r:id="rId6">
            <anchor moveWithCells="1">
              <from>
                <xdr:col>6</xdr:col>
                <xdr:colOff>19050</xdr:colOff>
                <xdr:row>9</xdr:row>
                <xdr:rowOff>19050</xdr:rowOff>
              </from>
              <to>
                <xdr:col>7</xdr:col>
                <xdr:colOff>0</xdr:colOff>
                <xdr:row>10</xdr:row>
                <xdr:rowOff>114300</xdr:rowOff>
              </to>
            </anchor>
          </controlPr>
        </control>
      </mc:Choice>
      <mc:Fallback>
        <control shapeId="9226" r:id="rId5" name="Spin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VLOOKUP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Kaiser</dc:creator>
  <cp:lastModifiedBy>Administrator</cp:lastModifiedBy>
  <dcterms:created xsi:type="dcterms:W3CDTF">2021-01-07T09:32:00Z</dcterms:created>
  <dcterms:modified xsi:type="dcterms:W3CDTF">2021-07-02T03:06:01Z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8992DCE6B31A46758D21950F3D18A45E</vt:lpwstr>
  </property>
  <property fmtid="{D5CDD505-2E9C-101B-9397-08002B2CF9AE}" pid="3" name="KSOProductBuildVer">
    <vt:lpwstr>2052-11.1.0.10640</vt:lpwstr>
  </property>
</Properties>
</file>