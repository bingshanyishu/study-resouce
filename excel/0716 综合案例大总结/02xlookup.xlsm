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1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27532\Desktop\素材\0716 综合案例大总结\"/>
    </mc:Choice>
  </mc:AlternateContent>
  <xr:revisionPtr revIDLastSave="0" documentId="13_ncr:1_{E30194D7-21BF-409E-8CA9-41A32B56DE66}" xr6:coauthVersionLast="47" xr6:coauthVersionMax="47" xr10:uidLastSave="{00000000-0000-0000-0000-000000000000}"/>
  <bookViews>
    <workbookView xWindow="-108" yWindow="-108" windowWidth="23256" windowHeight="12576" tabRatio="1000" xr2:uid="{00000000-000D-0000-FFFF-FFFF00000000}"/>
  </bookViews>
  <sheets>
    <sheet name="目录" sheetId="1" r:id="rId1"/>
    <sheet name="单条件精确查询" sheetId="26" r:id="rId2"/>
    <sheet name="屏蔽错误值" sheetId="27" r:id="rId3"/>
    <sheet name="单条件模糊查询" sheetId="28" r:id="rId4"/>
    <sheet name="区间查询" sheetId="45" r:id="rId5"/>
    <sheet name="从后往前查" sheetId="53" r:id="rId6"/>
    <sheet name="二进制查找" sheetId="56" r:id="rId7"/>
    <sheet name="横向查找" sheetId="54" r:id="rId8"/>
    <sheet name="忽略通配符查询" sheetId="29" r:id="rId9"/>
    <sheet name="返回标题排列顺序以致的多列结果" sheetId="32" r:id="rId10"/>
    <sheet name="返回标题排列不一致的多列结果" sheetId="33" r:id="rId11"/>
    <sheet name="多条件查询" sheetId="38" r:id="rId12"/>
    <sheet name="引用使用" sheetId="55" r:id="rId13"/>
    <sheet name="动态表查询" sheetId="46" r:id="rId14"/>
    <sheet name="2017年" sheetId="47" r:id="rId15"/>
    <sheet name="2019年" sheetId="49" r:id="rId16"/>
    <sheet name="2018年" sheetId="48" r:id="rId17"/>
  </sheets>
  <definedNames>
    <definedName name="_xlnm._FilterDatabase" localSheetId="11" hidden="1">多条件查询!$A$1:$C$1</definedName>
    <definedName name="_xlnm._FilterDatabase" localSheetId="6" hidden="1">二进制查找!$A$1:$C$11</definedName>
    <definedName name="_xlnm._FilterDatabase" localSheetId="8" hidden="1">忽略通配符查询!$A$1:$B$11</definedName>
    <definedName name="_xlnm._FilterDatabase" localSheetId="0" hidden="1">目录!$F$1:$H$1</definedName>
    <definedName name="_xlnm._FilterDatabase" localSheetId="2" hidden="1">屏蔽错误值!$B$1:$D$1</definedName>
    <definedName name="_xlnm._FilterDatabase" localSheetId="4" hidden="1">区间查询!$F$1:$G$5</definedName>
    <definedName name="目录">MID(GET.WORKBOOK(1),FIND("]",GET.WORKBOOK(1))+1,100)</definedName>
    <definedName name="制作目录">MID(GET.WORKBOOK(1),FIND("]",GET.WORKBOOK(1))+1,99)</definedName>
  </definedNames>
  <calcPr calcId="191029"/>
</workbook>
</file>

<file path=xl/calcChain.xml><?xml version="1.0" encoding="utf-8"?>
<calcChain xmlns="http://schemas.openxmlformats.org/spreadsheetml/2006/main">
  <c r="M1" i="46" l="1"/>
  <c r="M1" i="55"/>
  <c r="M1" i="38"/>
  <c r="M1" i="33"/>
  <c r="M1" i="32"/>
  <c r="M1" i="29"/>
  <c r="M1" i="54"/>
  <c r="M1" i="56"/>
  <c r="M1" i="53"/>
  <c r="M1" i="45"/>
  <c r="M1" i="28"/>
  <c r="M1" i="27"/>
  <c r="M1" i="26"/>
  <c r="N14" i="1" a="1"/>
  <c r="N17" i="1" a="1"/>
  <c r="N11" i="1" a="1"/>
  <c r="N13" i="1" a="1"/>
  <c r="N10" i="1" a="1"/>
  <c r="N12" i="1" a="1"/>
  <c r="N3" i="1" a="1"/>
  <c r="N1" i="1" a="1"/>
  <c r="N7" i="1" a="1"/>
  <c r="N8" i="1" a="1"/>
  <c r="N16" i="1" a="1"/>
  <c r="N2" i="1" a="1"/>
  <c r="N15" i="1" a="1"/>
  <c r="N5" i="1" a="1"/>
  <c r="N9" i="1" a="1"/>
  <c r="N6" i="1" a="1"/>
  <c r="N4" i="1" a="1"/>
  <c r="P4" i="1"/>
  <c r="P12" i="1"/>
  <c r="P14" i="1"/>
  <c r="P15" i="1"/>
  <c r="P9" i="1"/>
  <c r="P3" i="1"/>
  <c r="P5" i="1"/>
  <c r="P13" i="1"/>
  <c r="P6" i="1"/>
  <c r="P7" i="1"/>
  <c r="P16" i="1"/>
  <c r="P17" i="1"/>
  <c r="P18" i="1"/>
  <c r="P8" i="1"/>
  <c r="P10" i="1"/>
  <c r="P11" i="1"/>
  <c r="P2" i="1"/>
  <c r="M2" i="46"/>
  <c r="N13" i="1" l="1"/>
  <c r="N12" i="1"/>
  <c r="N2" i="1"/>
  <c r="N8" i="1"/>
  <c r="N14" i="1"/>
  <c r="N3" i="1"/>
  <c r="N9" i="1"/>
  <c r="N15" i="1"/>
  <c r="N4" i="1"/>
  <c r="N10" i="1"/>
  <c r="N16" i="1"/>
  <c r="N7" i="1"/>
  <c r="N1" i="1"/>
  <c r="N5" i="1"/>
  <c r="N11" i="1"/>
  <c r="N17" i="1"/>
  <c r="N6" i="1"/>
</calcChain>
</file>

<file path=xl/sharedStrings.xml><?xml version="1.0" encoding="utf-8"?>
<sst xmlns="http://schemas.openxmlformats.org/spreadsheetml/2006/main" count="343" uniqueCount="81">
  <si>
    <t>序号</t>
  </si>
  <si>
    <t>姓名</t>
  </si>
  <si>
    <t>特长</t>
  </si>
  <si>
    <t>电话</t>
  </si>
  <si>
    <t>刘备</t>
  </si>
  <si>
    <t>发呆</t>
  </si>
  <si>
    <t>关羽</t>
  </si>
  <si>
    <t>发言</t>
  </si>
  <si>
    <t>Excel</t>
  </si>
  <si>
    <t>数数</t>
  </si>
  <si>
    <t>常用技巧</t>
  </si>
  <si>
    <t>杂技</t>
  </si>
  <si>
    <t>常用函数</t>
  </si>
  <si>
    <t>搭积木</t>
  </si>
  <si>
    <t>数据透视表</t>
  </si>
  <si>
    <t>变魔术</t>
  </si>
  <si>
    <t>常用图表</t>
  </si>
  <si>
    <t>画画</t>
  </si>
  <si>
    <t>Power Query</t>
  </si>
  <si>
    <t>清洁工</t>
  </si>
  <si>
    <t>Power Pivot</t>
  </si>
  <si>
    <t>媒婆</t>
  </si>
  <si>
    <t>VBA编程</t>
  </si>
  <si>
    <t>自由人</t>
  </si>
  <si>
    <t>貂蝉</t>
  </si>
  <si>
    <t>刘</t>
  </si>
  <si>
    <t>EXCELers</t>
  </si>
  <si>
    <t>透视表</t>
  </si>
  <si>
    <t>VBA</t>
  </si>
  <si>
    <t>得分</t>
  </si>
  <si>
    <t>标准</t>
  </si>
  <si>
    <t>等级</t>
  </si>
  <si>
    <t>良好</t>
  </si>
  <si>
    <t>优秀</t>
  </si>
  <si>
    <t>不及格</t>
  </si>
  <si>
    <t>及格</t>
  </si>
  <si>
    <t>日期</t>
  </si>
  <si>
    <t>销售额</t>
  </si>
  <si>
    <t>PPT</t>
  </si>
  <si>
    <t>语文</t>
  </si>
  <si>
    <t>数学</t>
  </si>
  <si>
    <t>英语</t>
  </si>
  <si>
    <t>产品编号</t>
  </si>
  <si>
    <t>销售数量</t>
  </si>
  <si>
    <t>123+123*456</t>
  </si>
  <si>
    <t>123*456</t>
  </si>
  <si>
    <t>123+123*457</t>
  </si>
  <si>
    <t>123+123*458</t>
  </si>
  <si>
    <t>123+123*459</t>
  </si>
  <si>
    <t>123+123*460</t>
  </si>
  <si>
    <t>123*457</t>
  </si>
  <si>
    <t>123*458</t>
  </si>
  <si>
    <t>123*459</t>
  </si>
  <si>
    <t>123*460</t>
  </si>
  <si>
    <t>年</t>
  </si>
  <si>
    <t>金额</t>
  </si>
  <si>
    <t>开始日期</t>
  </si>
  <si>
    <t>结束日期</t>
  </si>
  <si>
    <t>金额合计</t>
  </si>
  <si>
    <t>2019年</t>
  </si>
  <si>
    <t>貂蝉</t>
    <phoneticPr fontId="8" type="noConversion"/>
  </si>
  <si>
    <t>提高重新速度</t>
    <phoneticPr fontId="8" type="noConversion"/>
  </si>
  <si>
    <t>二分法:先和一半比，比一半大就在排序大的那一半找，小就在另一半找，然后再取一半和一半比，直到找到</t>
    <phoneticPr fontId="8" type="noConversion"/>
  </si>
  <si>
    <t>XLOOKUP(lookup_value,vlookup_array,return_array,[if_not_found],[match_mode],[search_mode])</t>
    <phoneticPr fontId="8" type="noConversion"/>
  </si>
  <si>
    <t>XLOOKUP(查找值,查找区域,返回区域,[查找不到时返回值],[匹配模式],[搜索模式])</t>
    <phoneticPr fontId="8" type="noConversion"/>
  </si>
  <si>
    <t>匹配模式:</t>
    <phoneticPr fontId="8" type="noConversion"/>
  </si>
  <si>
    <t>搜索模式:</t>
    <phoneticPr fontId="8" type="noConversion"/>
  </si>
  <si>
    <t>0</t>
    <phoneticPr fontId="8" type="noConversion"/>
  </si>
  <si>
    <t>-1</t>
    <phoneticPr fontId="8" type="noConversion"/>
  </si>
  <si>
    <t>1</t>
    <phoneticPr fontId="8" type="noConversion"/>
  </si>
  <si>
    <t>2</t>
    <phoneticPr fontId="8" type="noConversion"/>
  </si>
  <si>
    <t>精确匹配.如果未找到,则返回#N/A.这是默认选项</t>
    <phoneticPr fontId="8" type="noConversion"/>
  </si>
  <si>
    <t>通配符匹配.</t>
    <phoneticPr fontId="8" type="noConversion"/>
  </si>
  <si>
    <t>精确匹配.如果未找到,则返回下一个较小的项</t>
    <phoneticPr fontId="8" type="noConversion"/>
  </si>
  <si>
    <t>精确匹配.如果未找到,则返回下一个较大的项</t>
    <phoneticPr fontId="8" type="noConversion"/>
  </si>
  <si>
    <t>-2</t>
    <phoneticPr fontId="8" type="noConversion"/>
  </si>
  <si>
    <t>从第一项到最后一项进行搜索</t>
    <phoneticPr fontId="8" type="noConversion"/>
  </si>
  <si>
    <t>从最后一项开始执行反向搜索</t>
    <phoneticPr fontId="8" type="noConversion"/>
  </si>
  <si>
    <t>二进制文件搜索(升序排序)</t>
    <phoneticPr fontId="8" type="noConversion"/>
  </si>
  <si>
    <t>二进制文件搜索(降序排序)</t>
    <phoneticPr fontId="8" type="noConversion"/>
  </si>
  <si>
    <t>=XLOOKUP($F2,A2:A11,XLOOKUP(G1,$B$1:$D$1,B2:D11))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</si>
</sst>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等线"/>
      <charset val="134"/>
      <scheme val="minor"/>
    </font>
    <font>
      <b/>
      <sz val="11"/>
      <color theme="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u/>
      <sz val="11"/>
      <color theme="1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42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3" fillId="3" borderId="0" xfId="0" applyFont="1" applyFill="1"/>
    <xf numFmtId="0" fontId="1" fillId="2" borderId="2" xfId="0" applyFont="1" applyFill="1" applyBorder="1" applyAlignment="1">
      <alignment horizontal="center" vertical="center"/>
    </xf>
    <xf numFmtId="57" fontId="0" fillId="0" borderId="0" xfId="0" applyNumberFormat="1"/>
    <xf numFmtId="0" fontId="4" fillId="0" borderId="2" xfId="0" applyFont="1" applyBorder="1"/>
    <xf numFmtId="0" fontId="0" fillId="0" borderId="2" xfId="0" applyNumberFormat="1" applyBorder="1"/>
    <xf numFmtId="0" fontId="0" fillId="0" borderId="0" xfId="0" applyBorder="1"/>
    <xf numFmtId="0" fontId="2" fillId="0" borderId="0" xfId="1" applyFont="1" applyBorder="1"/>
    <xf numFmtId="0" fontId="1" fillId="4" borderId="2" xfId="0" applyFont="1" applyFill="1" applyBorder="1" applyAlignment="1">
      <alignment horizontal="center" vertical="center"/>
    </xf>
    <xf numFmtId="0" fontId="0" fillId="5" borderId="0" xfId="0" applyFill="1" applyBorder="1"/>
    <xf numFmtId="0" fontId="0" fillId="0" borderId="0" xfId="0" applyNumberFormat="1"/>
    <xf numFmtId="14" fontId="1" fillId="2" borderId="2" xfId="0" applyNumberFormat="1" applyFont="1" applyFill="1" applyBorder="1" applyAlignment="1">
      <alignment horizontal="center" vertical="center"/>
    </xf>
    <xf numFmtId="0" fontId="1" fillId="2" borderId="2" xfId="0" applyNumberFormat="1" applyFont="1" applyFill="1" applyBorder="1" applyAlignment="1">
      <alignment horizontal="center" vertical="center"/>
    </xf>
    <xf numFmtId="14" fontId="0" fillId="0" borderId="0" xfId="0" applyNumberFormat="1" applyBorder="1"/>
    <xf numFmtId="0" fontId="0" fillId="0" borderId="0" xfId="0" applyNumberFormat="1" applyBorder="1"/>
    <xf numFmtId="0" fontId="0" fillId="0" borderId="0" xfId="0" applyNumberFormat="1" applyBorder="1" applyAlignment="1">
      <alignment horizontal="center"/>
    </xf>
    <xf numFmtId="14" fontId="2" fillId="0" borderId="0" xfId="1" applyNumberFormat="1" applyFont="1" applyBorder="1"/>
    <xf numFmtId="0" fontId="2" fillId="0" borderId="0" xfId="1" applyNumberFormat="1" applyFont="1" applyBorder="1"/>
    <xf numFmtId="0" fontId="2" fillId="0" borderId="0" xfId="1" applyNumberFormat="1" applyFont="1" applyBorder="1" applyAlignment="1">
      <alignment horizontal="center"/>
    </xf>
    <xf numFmtId="14" fontId="0" fillId="0" borderId="0" xfId="0" applyNumberFormat="1"/>
    <xf numFmtId="1" fontId="0" fillId="0" borderId="0" xfId="0" applyNumberFormat="1" applyBorder="1"/>
    <xf numFmtId="0" fontId="0" fillId="0" borderId="0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 applyAlignment="1">
      <alignment horizontal="center"/>
    </xf>
    <xf numFmtId="0" fontId="3" fillId="3" borderId="0" xfId="1" applyFont="1" applyFill="1" applyBorder="1"/>
    <xf numFmtId="0" fontId="5" fillId="0" borderId="1" xfId="0" applyFont="1" applyBorder="1"/>
    <xf numFmtId="0" fontId="6" fillId="0" borderId="1" xfId="1" applyBorder="1"/>
    <xf numFmtId="0" fontId="2" fillId="0" borderId="0" xfId="1" quotePrefix="1" applyFont="1" applyBorder="1"/>
    <xf numFmtId="0" fontId="0" fillId="0" borderId="0" xfId="0" quotePrefix="1" applyFill="1" applyAlignment="1">
      <alignment horizontal="center"/>
    </xf>
    <xf numFmtId="14" fontId="2" fillId="0" borderId="0" xfId="1" quotePrefix="1" applyNumberFormat="1" applyFont="1" applyBorder="1"/>
    <xf numFmtId="0" fontId="2" fillId="0" borderId="0" xfId="1" quotePrefix="1" applyNumberFormat="1" applyFont="1" applyBorder="1" applyAlignment="1">
      <alignment horizontal="center"/>
    </xf>
    <xf numFmtId="0" fontId="2" fillId="0" borderId="1" xfId="1" quotePrefix="1" applyFont="1" applyBorder="1"/>
    <xf numFmtId="0" fontId="5" fillId="0" borderId="0" xfId="0" applyFont="1" applyBorder="1"/>
    <xf numFmtId="0" fontId="7" fillId="0" borderId="0" xfId="0" applyFont="1" applyBorder="1"/>
    <xf numFmtId="1" fontId="7" fillId="0" borderId="0" xfId="0" applyNumberFormat="1" applyFont="1" applyBorder="1"/>
    <xf numFmtId="0" fontId="5" fillId="0" borderId="0" xfId="0" applyFont="1"/>
    <xf numFmtId="0" fontId="5" fillId="0" borderId="0" xfId="0" quotePrefix="1" applyFont="1"/>
    <xf numFmtId="0" fontId="5" fillId="5" borderId="0" xfId="0" quotePrefix="1" applyFont="1" applyFill="1" applyBorder="1"/>
    <xf numFmtId="0" fontId="6" fillId="0" borderId="0" xfId="1"/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mailto:&#24494;&#21338;@EXCELers" TargetMode="External"/><Relationship Id="rId1" Type="http://schemas.openxmlformats.org/officeDocument/2006/relationships/hyperlink" Target="mailto:&#24494;&#21338;@EXCELers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mailto:&#24494;&#21338;@EXCELers" TargetMode="External"/><Relationship Id="rId1" Type="http://schemas.openxmlformats.org/officeDocument/2006/relationships/hyperlink" Target="mailto:&#24494;&#21338;@EXCELers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mailto:&#24494;&#21338;@EXCELers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mailto:&#24494;&#21338;@EXCELers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mailto:&#24494;&#21338;@EXCELers" TargetMode="External"/><Relationship Id="rId2" Type="http://schemas.openxmlformats.org/officeDocument/2006/relationships/hyperlink" Target="mailto:&#24494;&#21338;@EXCELers" TargetMode="External"/><Relationship Id="rId1" Type="http://schemas.openxmlformats.org/officeDocument/2006/relationships/hyperlink" Target="mailto:&#24494;&#21338;@EXCELers" TargetMode="External"/><Relationship Id="rId4" Type="http://schemas.openxmlformats.org/officeDocument/2006/relationships/hyperlink" Target="mailto:&#24494;&#21338;@EXCELers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mailto:&#24494;&#21338;@EXCELers" TargetMode="External"/><Relationship Id="rId1" Type="http://schemas.openxmlformats.org/officeDocument/2006/relationships/hyperlink" Target="mailto:&#24494;&#21338;@EXCELers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hyperlink" Target="mailto:&#24494;&#21338;@EXCELers" TargetMode="External"/><Relationship Id="rId1" Type="http://schemas.openxmlformats.org/officeDocument/2006/relationships/hyperlink" Target="mailto:&#24494;&#21338;@EXCELers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hyperlink" Target="mailto:&#24494;&#21338;@EXCELers" TargetMode="External"/><Relationship Id="rId1" Type="http://schemas.openxmlformats.org/officeDocument/2006/relationships/hyperlink" Target="mailto:&#24494;&#21338;@EXCELers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hyperlink" Target="mailto:&#24494;&#21338;@EXCELers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hyperlink" Target="mailto:&#24494;&#21338;@EXCELers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mailto:&#24494;&#21338;@EXCELers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hyperlink" Target="mailto:&#24494;&#21338;@EXCELer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8"/>
  <sheetViews>
    <sheetView showGridLines="0" tabSelected="1" workbookViewId="0">
      <selection activeCell="N1" sqref="N1:N17"/>
    </sheetView>
  </sheetViews>
  <sheetFormatPr defaultColWidth="9" defaultRowHeight="13.8" x14ac:dyDescent="0.25"/>
  <cols>
    <col min="8" max="9" width="8.6640625" customWidth="1"/>
    <col min="13" max="13" width="4.88671875" customWidth="1"/>
    <col min="14" max="14" width="29" customWidth="1"/>
  </cols>
  <sheetData>
    <row r="1" spans="1:16" x14ac:dyDescent="0.25">
      <c r="A1" s="38" t="s">
        <v>63</v>
      </c>
      <c r="M1" s="2" t="s">
        <v>0</v>
      </c>
      <c r="N1" s="28" t="str">
        <f t="array" ref="N1">INDEX(目录,ROW())</f>
        <v>目录</v>
      </c>
    </row>
    <row r="2" spans="1:16" x14ac:dyDescent="0.25">
      <c r="A2" s="38" t="s">
        <v>64</v>
      </c>
      <c r="M2" s="2">
        <v>1</v>
      </c>
      <c r="N2" s="29" t="str">
        <f t="array" ref="N2">HYPERLINK("#"&amp;INDEX(目录,ROW())&amp;"!a1",INDEX(目录,ROW()))</f>
        <v>单条件精确查询</v>
      </c>
      <c r="P2" s="41" t="str">
        <f>HYPERLINK("#"&amp;INDEX(制作目录,ROW(A1))&amp;"!a1",INDEX(制作目录,ROW(A1)))</f>
        <v>目录</v>
      </c>
    </row>
    <row r="3" spans="1:16" x14ac:dyDescent="0.25">
      <c r="M3" s="2">
        <v>2</v>
      </c>
      <c r="N3" s="29" t="str">
        <f t="array" ref="N3">HYPERLINK("#"&amp;INDEX(目录,ROW())&amp;"!a1",INDEX(目录,ROW()))</f>
        <v>屏蔽错误值</v>
      </c>
      <c r="P3" s="41" t="str">
        <f>HYPERLINK("#"&amp;INDEX(制作目录,ROW(A2))&amp;"!a1",INDEX(制作目录,ROW(A2)))</f>
        <v>单条件精确查询</v>
      </c>
    </row>
    <row r="4" spans="1:16" x14ac:dyDescent="0.25">
      <c r="A4" s="38" t="s">
        <v>65</v>
      </c>
      <c r="B4" s="39" t="s">
        <v>67</v>
      </c>
      <c r="C4" s="38" t="s">
        <v>71</v>
      </c>
      <c r="M4" s="2">
        <v>3</v>
      </c>
      <c r="N4" s="29" t="str">
        <f t="array" ref="N4">HYPERLINK("#"&amp;INDEX(目录,ROW())&amp;"!a1",INDEX(目录,ROW()))</f>
        <v>单条件模糊查询</v>
      </c>
      <c r="P4" s="41" t="str">
        <f>HYPERLINK("#"&amp;INDEX(制作目录,ROW(A3))&amp;"!a1",INDEX(制作目录,ROW(A3)))</f>
        <v>屏蔽错误值</v>
      </c>
    </row>
    <row r="5" spans="1:16" x14ac:dyDescent="0.25">
      <c r="B5" s="39" t="s">
        <v>68</v>
      </c>
      <c r="C5" s="38" t="s">
        <v>73</v>
      </c>
      <c r="M5" s="2">
        <v>4</v>
      </c>
      <c r="N5" s="29" t="str">
        <f t="array" ref="N5">HYPERLINK("#"&amp;INDEX(目录,ROW())&amp;"!a1",INDEX(目录,ROW()))</f>
        <v>区间查询</v>
      </c>
      <c r="P5" s="41" t="str">
        <f>HYPERLINK("#"&amp;INDEX(制作目录,ROW(A4))&amp;"!a1",INDEX(制作目录,ROW(A4)))</f>
        <v>单条件模糊查询</v>
      </c>
    </row>
    <row r="6" spans="1:16" x14ac:dyDescent="0.25">
      <c r="B6" s="39" t="s">
        <v>69</v>
      </c>
      <c r="C6" s="38" t="s">
        <v>74</v>
      </c>
      <c r="M6" s="2">
        <v>5</v>
      </c>
      <c r="N6" s="29" t="str">
        <f t="array" ref="N6">HYPERLINK("#"&amp;INDEX(目录,ROW())&amp;"!a1",INDEX(目录,ROW()))</f>
        <v>从后往前查</v>
      </c>
      <c r="P6" s="41" t="str">
        <f>HYPERLINK("#"&amp;INDEX(制作目录,ROW(A5))&amp;"!a1",INDEX(制作目录,ROW(A5)))</f>
        <v>区间查询</v>
      </c>
    </row>
    <row r="7" spans="1:16" x14ac:dyDescent="0.25">
      <c r="B7" s="39" t="s">
        <v>70</v>
      </c>
      <c r="C7" s="38" t="s">
        <v>72</v>
      </c>
      <c r="M7" s="2">
        <v>6</v>
      </c>
      <c r="N7" s="29" t="str">
        <f t="array" ref="N7">HYPERLINK("#"&amp;INDEX(目录,ROW())&amp;"!a1",INDEX(目录,ROW()))</f>
        <v>二进制查找</v>
      </c>
      <c r="P7" s="41" t="str">
        <f>HYPERLINK("#"&amp;INDEX(制作目录,ROW(A6))&amp;"!a1",INDEX(制作目录,ROW(A6)))</f>
        <v>从后往前查</v>
      </c>
    </row>
    <row r="8" spans="1:16" x14ac:dyDescent="0.25">
      <c r="M8" s="2">
        <v>7</v>
      </c>
      <c r="N8" s="29" t="str">
        <f t="array" ref="N8">HYPERLINK("#"&amp;INDEX(目录,ROW())&amp;"!a1",INDEX(目录,ROW()))</f>
        <v>横向查找</v>
      </c>
      <c r="P8" s="41" t="str">
        <f>HYPERLINK("#"&amp;INDEX(制作目录,ROW(A7))&amp;"!a1",INDEX(制作目录,ROW(A7)))</f>
        <v>二进制查找</v>
      </c>
    </row>
    <row r="9" spans="1:16" x14ac:dyDescent="0.25">
      <c r="M9" s="2">
        <v>8</v>
      </c>
      <c r="N9" s="29" t="str">
        <f t="array" ref="N9">HYPERLINK("#"&amp;INDEX(目录,ROW())&amp;"!a1",INDEX(目录,ROW()))</f>
        <v>忽略通配符查询</v>
      </c>
      <c r="P9" s="41" t="str">
        <f>HYPERLINK("#"&amp;INDEX(制作目录,ROW(A8))&amp;"!a1",INDEX(制作目录,ROW(A8)))</f>
        <v>横向查找</v>
      </c>
    </row>
    <row r="10" spans="1:16" x14ac:dyDescent="0.25">
      <c r="A10" s="38" t="s">
        <v>66</v>
      </c>
      <c r="B10" s="39" t="s">
        <v>68</v>
      </c>
      <c r="C10" s="38" t="s">
        <v>76</v>
      </c>
      <c r="M10" s="2">
        <v>9</v>
      </c>
      <c r="N10" s="29" t="str">
        <f t="array" ref="N10">HYPERLINK("#"&amp;INDEX(目录,ROW())&amp;"!a1",INDEX(目录,ROW()))</f>
        <v>返回标题排列顺序以致的多列结果</v>
      </c>
      <c r="P10" s="41" t="str">
        <f>HYPERLINK("#"&amp;INDEX(制作目录,ROW(A9))&amp;"!a1",INDEX(制作目录,ROW(A9)))</f>
        <v>忽略通配符查询</v>
      </c>
    </row>
    <row r="11" spans="1:16" x14ac:dyDescent="0.25">
      <c r="B11" s="39" t="s">
        <v>69</v>
      </c>
      <c r="C11" s="38" t="s">
        <v>77</v>
      </c>
      <c r="M11" s="2">
        <v>10</v>
      </c>
      <c r="N11" s="29" t="str">
        <f t="array" ref="N11">HYPERLINK("#"&amp;INDEX(目录,ROW())&amp;"!a1",INDEX(目录,ROW()))</f>
        <v>返回标题排列不一致的多列结果</v>
      </c>
      <c r="P11" s="41" t="str">
        <f>HYPERLINK("#"&amp;INDEX(制作目录,ROW(A10))&amp;"!a1",INDEX(制作目录,ROW(A10)))</f>
        <v>返回标题排列顺序以致的多列结果</v>
      </c>
    </row>
    <row r="12" spans="1:16" x14ac:dyDescent="0.25">
      <c r="B12" s="39" t="s">
        <v>70</v>
      </c>
      <c r="C12" s="38" t="s">
        <v>78</v>
      </c>
      <c r="M12" s="2">
        <v>11</v>
      </c>
      <c r="N12" s="29" t="str">
        <f t="array" ref="N12">HYPERLINK("#"&amp;INDEX(目录,ROW())&amp;"!a1",INDEX(目录,ROW()))</f>
        <v>多条件查询</v>
      </c>
      <c r="P12" s="41" t="str">
        <f>HYPERLINK("#"&amp;INDEX(制作目录,ROW(A11))&amp;"!a1",INDEX(制作目录,ROW(A11)))</f>
        <v>返回标题排列不一致的多列结果</v>
      </c>
    </row>
    <row r="13" spans="1:16" x14ac:dyDescent="0.25">
      <c r="B13" s="39" t="s">
        <v>75</v>
      </c>
      <c r="C13" s="38" t="s">
        <v>79</v>
      </c>
      <c r="M13" s="2">
        <v>12</v>
      </c>
      <c r="N13" s="29" t="str">
        <f t="array" ref="N13">HYPERLINK("#"&amp;INDEX(目录,ROW())&amp;"!a1",INDEX(目录,ROW()))</f>
        <v>引用使用</v>
      </c>
      <c r="P13" s="41" t="str">
        <f>HYPERLINK("#"&amp;INDEX(制作目录,ROW(A12))&amp;"!a1",INDEX(制作目录,ROW(A12)))</f>
        <v>多条件查询</v>
      </c>
    </row>
    <row r="14" spans="1:16" x14ac:dyDescent="0.25">
      <c r="M14" s="2">
        <v>13</v>
      </c>
      <c r="N14" s="29" t="str">
        <f t="array" ref="N14">HYPERLINK("#"&amp;INDEX(目录,ROW())&amp;"!a1",INDEX(目录,ROW()))</f>
        <v>动态表查询</v>
      </c>
      <c r="P14" s="41" t="str">
        <f>HYPERLINK("#"&amp;INDEX(制作目录,ROW(A13))&amp;"!a1",INDEX(制作目录,ROW(A13)))</f>
        <v>引用使用</v>
      </c>
    </row>
    <row r="15" spans="1:16" x14ac:dyDescent="0.25">
      <c r="C15" s="38" t="s">
        <v>61</v>
      </c>
      <c r="M15" s="2">
        <v>14</v>
      </c>
      <c r="N15" s="29" t="str">
        <f t="array" ref="N15">HYPERLINK("#"&amp;INDEX(目录,ROW())&amp;"!a1",INDEX(目录,ROW()))</f>
        <v>2017年</v>
      </c>
      <c r="P15" s="41" t="str">
        <f>HYPERLINK("#"&amp;INDEX(制作目录,ROW(A14))&amp;"!a1",INDEX(制作目录,ROW(A14)))</f>
        <v>动态表查询</v>
      </c>
    </row>
    <row r="16" spans="1:16" x14ac:dyDescent="0.25">
      <c r="C16" s="38" t="s">
        <v>62</v>
      </c>
      <c r="M16" s="2">
        <v>15</v>
      </c>
      <c r="N16" s="29" t="str">
        <f t="array" ref="N16">HYPERLINK("#"&amp;INDEX(目录,ROW())&amp;"!a1",INDEX(目录,ROW()))</f>
        <v>2019年</v>
      </c>
      <c r="P16" s="41" t="str">
        <f>HYPERLINK("#"&amp;INDEX(制作目录,ROW(A15))&amp;"!a1",INDEX(制作目录,ROW(A15)))</f>
        <v>2017年</v>
      </c>
    </row>
    <row r="17" spans="13:16" x14ac:dyDescent="0.25">
      <c r="M17" s="2">
        <v>16</v>
      </c>
      <c r="N17" s="29" t="str">
        <f t="array" ref="N17">HYPERLINK("#"&amp;INDEX(目录,ROW())&amp;"!a1",INDEX(目录,ROW()))</f>
        <v>2018年</v>
      </c>
      <c r="P17" s="41" t="str">
        <f>HYPERLINK("#"&amp;INDEX(制作目录,ROW(A16))&amp;"!a1",INDEX(制作目录,ROW(A16)))</f>
        <v>2019年</v>
      </c>
    </row>
    <row r="18" spans="13:16" x14ac:dyDescent="0.25">
      <c r="P18" s="41" t="str">
        <f>HYPERLINK("#"&amp;INDEX(制作目录,ROW(A17))&amp;"!a1",INDEX(制作目录,ROW(A17)))</f>
        <v>2018年</v>
      </c>
    </row>
  </sheetData>
  <phoneticPr fontId="8" type="noConversion"/>
  <pageMargins left="0.7" right="0.7" top="0.75" bottom="0.75" header="0.3" footer="0.3"/>
  <pageSetup paperSize="9" orientation="portrait" horizontalDpi="2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M11"/>
  <sheetViews>
    <sheetView showGridLines="0" workbookViewId="0">
      <selection activeCell="M1" sqref="M1"/>
    </sheetView>
  </sheetViews>
  <sheetFormatPr defaultColWidth="9" defaultRowHeight="13.8" x14ac:dyDescent="0.25"/>
  <cols>
    <col min="1" max="1" width="2.6640625" style="9" customWidth="1"/>
    <col min="2" max="2" width="11" style="9" customWidth="1"/>
    <col min="3" max="3" width="6.6640625" style="9" customWidth="1"/>
    <col min="4" max="4" width="10.109375" style="9" customWidth="1"/>
    <col min="5" max="5" width="4.33203125" style="9" customWidth="1"/>
    <col min="6" max="6" width="8" style="9" customWidth="1"/>
    <col min="7" max="7" width="10.33203125" style="9" customWidth="1"/>
    <col min="8" max="16384" width="9" style="9"/>
  </cols>
  <sheetData>
    <row r="1" spans="2:13" ht="14.4" customHeight="1" x14ac:dyDescent="0.25">
      <c r="B1" s="5" t="s">
        <v>1</v>
      </c>
      <c r="C1" s="5" t="s">
        <v>2</v>
      </c>
      <c r="D1" s="5" t="s">
        <v>3</v>
      </c>
      <c r="F1" s="5" t="s">
        <v>1</v>
      </c>
      <c r="G1" s="5" t="s">
        <v>3</v>
      </c>
      <c r="M1" s="27" t="str">
        <f>HYPERLINK("#目录!a1","返回目录")</f>
        <v>返回目录</v>
      </c>
    </row>
    <row r="2" spans="2:13" x14ac:dyDescent="0.25">
      <c r="B2" s="9" t="s">
        <v>4</v>
      </c>
      <c r="C2" s="9" t="s">
        <v>5</v>
      </c>
      <c r="D2" s="9">
        <v>447179798</v>
      </c>
      <c r="F2" s="9" t="s">
        <v>4</v>
      </c>
    </row>
    <row r="3" spans="2:13" x14ac:dyDescent="0.25">
      <c r="B3" s="30" t="s">
        <v>6</v>
      </c>
      <c r="C3" s="9" t="s">
        <v>7</v>
      </c>
      <c r="D3" s="9">
        <v>386517347</v>
      </c>
      <c r="F3" s="30" t="s">
        <v>6</v>
      </c>
    </row>
    <row r="4" spans="2:13" x14ac:dyDescent="0.25">
      <c r="B4" s="9" t="s">
        <v>8</v>
      </c>
      <c r="C4" s="9" t="s">
        <v>9</v>
      </c>
      <c r="D4" s="9">
        <v>124018793</v>
      </c>
      <c r="F4" s="9" t="s">
        <v>8</v>
      </c>
    </row>
    <row r="5" spans="2:13" x14ac:dyDescent="0.25">
      <c r="B5" s="9" t="s">
        <v>10</v>
      </c>
      <c r="C5" s="9" t="s">
        <v>11</v>
      </c>
      <c r="D5" s="9">
        <v>974354086</v>
      </c>
      <c r="F5" s="9" t="s">
        <v>10</v>
      </c>
    </row>
    <row r="6" spans="2:13" x14ac:dyDescent="0.25">
      <c r="B6" s="9" t="s">
        <v>12</v>
      </c>
      <c r="C6" s="9" t="s">
        <v>13</v>
      </c>
      <c r="D6" s="9">
        <v>639000210</v>
      </c>
    </row>
    <row r="7" spans="2:13" x14ac:dyDescent="0.25">
      <c r="B7" s="9" t="s">
        <v>14</v>
      </c>
      <c r="C7" s="9" t="s">
        <v>15</v>
      </c>
      <c r="D7" s="9">
        <v>192358683</v>
      </c>
    </row>
    <row r="8" spans="2:13" x14ac:dyDescent="0.25">
      <c r="B8" s="9" t="s">
        <v>16</v>
      </c>
      <c r="C8" s="9" t="s">
        <v>17</v>
      </c>
      <c r="D8" s="9">
        <v>267690928</v>
      </c>
    </row>
    <row r="9" spans="2:13" x14ac:dyDescent="0.25">
      <c r="B9" s="9" t="s">
        <v>18</v>
      </c>
      <c r="C9" s="9" t="s">
        <v>19</v>
      </c>
      <c r="D9" s="9">
        <v>227008766</v>
      </c>
    </row>
    <row r="10" spans="2:13" x14ac:dyDescent="0.25">
      <c r="B10" s="9" t="s">
        <v>20</v>
      </c>
      <c r="C10" s="9" t="s">
        <v>21</v>
      </c>
      <c r="D10" s="9">
        <v>759154367</v>
      </c>
    </row>
    <row r="11" spans="2:13" x14ac:dyDescent="0.25">
      <c r="B11" s="9" t="s">
        <v>22</v>
      </c>
      <c r="C11" s="9" t="s">
        <v>23</v>
      </c>
      <c r="D11" s="9">
        <v>666461343</v>
      </c>
    </row>
  </sheetData>
  <phoneticPr fontId="8" type="noConversion"/>
  <hyperlinks>
    <hyperlink ref="B3" r:id="rId1" xr:uid="{00000000-0004-0000-0100-000000000000}"/>
    <hyperlink ref="F3" r:id="rId2" xr:uid="{00000000-0004-0000-0100-000001000000}"/>
  </hyperlinks>
  <pageMargins left="0.7" right="0.7" top="0.75" bottom="0.75" header="0.3" footer="0.3"/>
  <pageSetup paperSize="9" orientation="portrait" horizontalDpi="2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showGridLines="0" workbookViewId="0">
      <selection activeCell="M1" sqref="M1"/>
    </sheetView>
  </sheetViews>
  <sheetFormatPr defaultColWidth="9" defaultRowHeight="13.8" x14ac:dyDescent="0.25"/>
  <cols>
    <col min="1" max="1" width="3.109375" customWidth="1"/>
    <col min="2" max="2" width="11" style="9" customWidth="1"/>
    <col min="3" max="3" width="6.6640625" style="9" customWidth="1"/>
    <col min="4" max="4" width="10.109375" style="9" customWidth="1"/>
    <col min="5" max="5" width="4.33203125" style="9" customWidth="1"/>
    <col min="6" max="6" width="8" style="9" customWidth="1"/>
    <col min="7" max="7" width="10.33203125" style="9" customWidth="1"/>
    <col min="8" max="8" width="14" customWidth="1"/>
  </cols>
  <sheetData>
    <row r="1" spans="1:13" ht="14.4" customHeight="1" x14ac:dyDescent="0.25">
      <c r="A1" s="9"/>
      <c r="B1" s="5" t="s">
        <v>1</v>
      </c>
      <c r="C1" s="5" t="s">
        <v>2</v>
      </c>
      <c r="D1" s="5" t="s">
        <v>3</v>
      </c>
      <c r="F1" s="5" t="s">
        <v>1</v>
      </c>
      <c r="G1" s="5" t="s">
        <v>3</v>
      </c>
      <c r="M1" s="4" t="str">
        <f>HYPERLINK("#目录!a1","返回目录")</f>
        <v>返回目录</v>
      </c>
    </row>
    <row r="2" spans="1:13" x14ac:dyDescent="0.25">
      <c r="B2" s="9" t="s">
        <v>8</v>
      </c>
      <c r="C2" s="9" t="s">
        <v>9</v>
      </c>
      <c r="D2" s="9">
        <v>334256666</v>
      </c>
      <c r="F2" s="35" t="s">
        <v>60</v>
      </c>
    </row>
    <row r="3" spans="1:13" x14ac:dyDescent="0.25">
      <c r="B3" s="30" t="s">
        <v>20</v>
      </c>
      <c r="C3" s="9" t="s">
        <v>21</v>
      </c>
      <c r="D3" s="9">
        <v>897621456</v>
      </c>
      <c r="F3" s="30" t="s">
        <v>6</v>
      </c>
    </row>
    <row r="4" spans="1:13" x14ac:dyDescent="0.25">
      <c r="B4" s="9" t="s">
        <v>18</v>
      </c>
      <c r="C4" s="9" t="s">
        <v>19</v>
      </c>
      <c r="D4" s="9">
        <v>374845996</v>
      </c>
      <c r="F4" s="9" t="s">
        <v>8</v>
      </c>
    </row>
    <row r="5" spans="1:13" x14ac:dyDescent="0.25">
      <c r="B5" s="9" t="s">
        <v>22</v>
      </c>
      <c r="C5" s="9" t="s">
        <v>23</v>
      </c>
      <c r="D5" s="9">
        <v>517914953</v>
      </c>
      <c r="F5" s="9" t="s">
        <v>10</v>
      </c>
    </row>
    <row r="6" spans="1:13" x14ac:dyDescent="0.25">
      <c r="B6" s="9" t="s">
        <v>12</v>
      </c>
      <c r="C6" s="9" t="s">
        <v>13</v>
      </c>
      <c r="D6" s="9">
        <v>662561250</v>
      </c>
    </row>
    <row r="7" spans="1:13" x14ac:dyDescent="0.25">
      <c r="B7" s="9" t="s">
        <v>10</v>
      </c>
      <c r="C7" s="9" t="s">
        <v>11</v>
      </c>
      <c r="D7" s="9">
        <v>225129026</v>
      </c>
    </row>
    <row r="8" spans="1:13" x14ac:dyDescent="0.25">
      <c r="B8" s="9" t="s">
        <v>16</v>
      </c>
      <c r="C8" s="9" t="s">
        <v>17</v>
      </c>
      <c r="D8" s="9">
        <v>980232559</v>
      </c>
    </row>
    <row r="9" spans="1:13" x14ac:dyDescent="0.25">
      <c r="B9" s="9" t="s">
        <v>6</v>
      </c>
      <c r="C9" s="9" t="s">
        <v>7</v>
      </c>
      <c r="D9" s="9">
        <v>307051208</v>
      </c>
    </row>
    <row r="10" spans="1:13" x14ac:dyDescent="0.25">
      <c r="B10" s="9" t="s">
        <v>4</v>
      </c>
      <c r="C10" s="9" t="s">
        <v>5</v>
      </c>
      <c r="D10" s="9">
        <v>210225690</v>
      </c>
    </row>
    <row r="11" spans="1:13" x14ac:dyDescent="0.25">
      <c r="B11" s="9" t="s">
        <v>14</v>
      </c>
      <c r="C11" s="9" t="s">
        <v>15</v>
      </c>
      <c r="D11" s="9">
        <v>282636530</v>
      </c>
    </row>
  </sheetData>
  <phoneticPr fontId="8" type="noConversion"/>
  <hyperlinks>
    <hyperlink ref="F3" r:id="rId1" xr:uid="{00000000-0004-0000-0200-000000000000}"/>
    <hyperlink ref="B9" r:id="rId2" xr:uid="{00000000-0004-0000-0200-000001000000}"/>
  </hyperlinks>
  <pageMargins left="0.7" right="0.7" top="0.75" bottom="0.75" header="0.3" footer="0.3"/>
  <pageSetup paperSize="9" orientation="portrait" horizontalDpi="2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1"/>
  <sheetViews>
    <sheetView showGridLines="0" workbookViewId="0">
      <selection activeCell="M1" sqref="M1"/>
    </sheetView>
  </sheetViews>
  <sheetFormatPr defaultColWidth="9" defaultRowHeight="13.8" x14ac:dyDescent="0.25"/>
  <cols>
    <col min="1" max="1" width="14.109375" customWidth="1"/>
    <col min="2" max="2" width="11.33203125" customWidth="1"/>
    <col min="3" max="3" width="4.33203125" customWidth="1"/>
    <col min="4" max="4" width="11.6640625" customWidth="1"/>
    <col min="5" max="5" width="12.21875" customWidth="1"/>
  </cols>
  <sheetData>
    <row r="1" spans="1:13" ht="14.4" customHeight="1" x14ac:dyDescent="0.25">
      <c r="A1" s="5" t="s">
        <v>1</v>
      </c>
      <c r="B1" s="5" t="s">
        <v>2</v>
      </c>
      <c r="C1" s="9"/>
      <c r="D1" s="5" t="s">
        <v>1</v>
      </c>
      <c r="E1" s="5" t="s">
        <v>2</v>
      </c>
      <c r="M1" s="4" t="str">
        <f>HYPERLINK("#目录!a1","返回目录")</f>
        <v>返回目录</v>
      </c>
    </row>
    <row r="2" spans="1:13" x14ac:dyDescent="0.25">
      <c r="A2" s="9" t="s">
        <v>4</v>
      </c>
      <c r="B2" s="9" t="s">
        <v>5</v>
      </c>
      <c r="C2" s="9"/>
      <c r="D2" s="26" t="s">
        <v>25</v>
      </c>
      <c r="E2" s="26"/>
    </row>
    <row r="3" spans="1:13" x14ac:dyDescent="0.25">
      <c r="A3" s="30" t="s">
        <v>6</v>
      </c>
      <c r="B3" s="9" t="s">
        <v>7</v>
      </c>
      <c r="C3" s="9"/>
      <c r="D3" s="31" t="s">
        <v>26</v>
      </c>
      <c r="E3" s="26"/>
    </row>
    <row r="4" spans="1:13" x14ac:dyDescent="0.25">
      <c r="A4" s="9" t="s">
        <v>8</v>
      </c>
      <c r="B4" s="9" t="s">
        <v>9</v>
      </c>
      <c r="C4" s="9"/>
      <c r="D4" s="26" t="s">
        <v>27</v>
      </c>
      <c r="E4" s="26"/>
    </row>
    <row r="5" spans="1:13" x14ac:dyDescent="0.25">
      <c r="A5" s="9" t="s">
        <v>10</v>
      </c>
      <c r="B5" s="9" t="s">
        <v>11</v>
      </c>
      <c r="C5" s="9"/>
      <c r="D5" s="26" t="s">
        <v>28</v>
      </c>
      <c r="E5" s="26"/>
    </row>
    <row r="6" spans="1:13" x14ac:dyDescent="0.25">
      <c r="A6" s="9" t="s">
        <v>12</v>
      </c>
      <c r="B6" s="9" t="s">
        <v>13</v>
      </c>
      <c r="C6" s="9"/>
    </row>
    <row r="7" spans="1:13" x14ac:dyDescent="0.25">
      <c r="A7" s="9" t="s">
        <v>14</v>
      </c>
      <c r="B7" s="9" t="s">
        <v>15</v>
      </c>
      <c r="C7" s="9"/>
    </row>
    <row r="8" spans="1:13" x14ac:dyDescent="0.25">
      <c r="A8" s="9" t="s">
        <v>16</v>
      </c>
      <c r="B8" s="9" t="s">
        <v>17</v>
      </c>
      <c r="C8" s="9"/>
    </row>
    <row r="9" spans="1:13" x14ac:dyDescent="0.25">
      <c r="A9" s="9" t="s">
        <v>18</v>
      </c>
      <c r="B9" s="9" t="s">
        <v>19</v>
      </c>
      <c r="C9" s="9"/>
    </row>
    <row r="10" spans="1:13" x14ac:dyDescent="0.25">
      <c r="A10" s="9" t="s">
        <v>20</v>
      </c>
      <c r="B10" s="9" t="s">
        <v>21</v>
      </c>
      <c r="C10" s="9"/>
    </row>
    <row r="11" spans="1:13" x14ac:dyDescent="0.25">
      <c r="A11" s="9" t="s">
        <v>22</v>
      </c>
      <c r="B11" s="9" t="s">
        <v>23</v>
      </c>
      <c r="C11" s="9"/>
    </row>
  </sheetData>
  <phoneticPr fontId="8" type="noConversion"/>
  <hyperlinks>
    <hyperlink ref="A3" r:id="rId1" xr:uid="{00000000-0004-0000-0300-000000000000}"/>
  </hyperlinks>
  <pageMargins left="0.7" right="0.7" top="0.75" bottom="0.75" header="0.3" footer="0.3"/>
  <pageSetup paperSize="9" orientation="portrait" horizontalDpi="2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0"/>
  <dimension ref="A1:M11"/>
  <sheetViews>
    <sheetView showGridLines="0" workbookViewId="0">
      <selection activeCell="D2" sqref="D2"/>
    </sheetView>
  </sheetViews>
  <sheetFormatPr defaultColWidth="9" defaultRowHeight="13.8" x14ac:dyDescent="0.25"/>
  <cols>
    <col min="1" max="1" width="13.33203125" customWidth="1"/>
    <col min="2" max="2" width="6.6640625" customWidth="1"/>
    <col min="3" max="3" width="6.88671875" customWidth="1"/>
    <col min="4" max="4" width="6.6640625" style="25" customWidth="1"/>
  </cols>
  <sheetData>
    <row r="1" spans="1:13" ht="14.4" customHeight="1" x14ac:dyDescent="0.25">
      <c r="A1" s="5" t="s">
        <v>1</v>
      </c>
      <c r="B1" s="5" t="s">
        <v>2</v>
      </c>
      <c r="C1" s="5" t="s">
        <v>29</v>
      </c>
      <c r="D1" s="5" t="s">
        <v>30</v>
      </c>
      <c r="F1" s="5" t="s">
        <v>30</v>
      </c>
      <c r="G1" s="5" t="s">
        <v>31</v>
      </c>
      <c r="M1" s="4" t="str">
        <f>HYPERLINK("#目录!a1","返回目录")</f>
        <v>返回目录</v>
      </c>
    </row>
    <row r="2" spans="1:13" x14ac:dyDescent="0.25">
      <c r="A2" s="9" t="s">
        <v>4</v>
      </c>
      <c r="B2" s="9" t="s">
        <v>5</v>
      </c>
      <c r="C2" s="9">
        <v>84</v>
      </c>
      <c r="D2" s="24"/>
      <c r="F2" s="26">
        <v>80</v>
      </c>
      <c r="G2" s="26" t="s">
        <v>32</v>
      </c>
    </row>
    <row r="3" spans="1:13" x14ac:dyDescent="0.25">
      <c r="A3" s="30" t="s">
        <v>6</v>
      </c>
      <c r="B3" s="9" t="s">
        <v>7</v>
      </c>
      <c r="C3" s="9">
        <v>90</v>
      </c>
      <c r="D3" s="24"/>
      <c r="F3" s="26">
        <v>90</v>
      </c>
      <c r="G3" s="26" t="s">
        <v>33</v>
      </c>
    </row>
    <row r="4" spans="1:13" x14ac:dyDescent="0.25">
      <c r="A4" s="9" t="s">
        <v>8</v>
      </c>
      <c r="B4" s="9" t="s">
        <v>9</v>
      </c>
      <c r="C4" s="9">
        <v>100</v>
      </c>
      <c r="D4" s="24"/>
      <c r="F4" s="26">
        <v>0</v>
      </c>
      <c r="G4" s="26" t="s">
        <v>34</v>
      </c>
    </row>
    <row r="5" spans="1:13" x14ac:dyDescent="0.25">
      <c r="A5" s="9" t="s">
        <v>10</v>
      </c>
      <c r="B5" s="9" t="s">
        <v>11</v>
      </c>
      <c r="C5" s="9">
        <v>82</v>
      </c>
      <c r="D5" s="24"/>
      <c r="F5" s="26">
        <v>60</v>
      </c>
      <c r="G5" s="26" t="s">
        <v>35</v>
      </c>
    </row>
    <row r="6" spans="1:13" x14ac:dyDescent="0.25">
      <c r="A6" s="9" t="s">
        <v>12</v>
      </c>
      <c r="B6" s="9" t="s">
        <v>13</v>
      </c>
      <c r="C6" s="9">
        <v>12</v>
      </c>
      <c r="D6" s="24"/>
    </row>
    <row r="7" spans="1:13" x14ac:dyDescent="0.25">
      <c r="A7" s="9" t="s">
        <v>14</v>
      </c>
      <c r="B7" s="9" t="s">
        <v>15</v>
      </c>
      <c r="C7" s="9">
        <v>60</v>
      </c>
      <c r="D7" s="24"/>
    </row>
    <row r="8" spans="1:13" x14ac:dyDescent="0.25">
      <c r="A8" s="9" t="s">
        <v>16</v>
      </c>
      <c r="B8" s="9" t="s">
        <v>17</v>
      </c>
      <c r="C8" s="9">
        <v>96</v>
      </c>
      <c r="D8" s="24"/>
    </row>
    <row r="9" spans="1:13" x14ac:dyDescent="0.25">
      <c r="A9" s="9" t="s">
        <v>18</v>
      </c>
      <c r="B9" s="9" t="s">
        <v>19</v>
      </c>
      <c r="C9" s="9">
        <v>74</v>
      </c>
      <c r="D9" s="24"/>
    </row>
    <row r="10" spans="1:13" x14ac:dyDescent="0.25">
      <c r="A10" s="9" t="s">
        <v>20</v>
      </c>
      <c r="B10" s="9" t="s">
        <v>21</v>
      </c>
      <c r="C10" s="9">
        <v>81</v>
      </c>
      <c r="D10" s="24"/>
    </row>
    <row r="11" spans="1:13" x14ac:dyDescent="0.25">
      <c r="A11" s="9" t="s">
        <v>22</v>
      </c>
      <c r="B11" s="9" t="s">
        <v>23</v>
      </c>
      <c r="C11" s="9">
        <v>92</v>
      </c>
      <c r="D11" s="24"/>
    </row>
  </sheetData>
  <phoneticPr fontId="8" type="noConversion"/>
  <hyperlinks>
    <hyperlink ref="A3" r:id="rId1" xr:uid="{00000000-0004-0000-0400-000000000000}"/>
  </hyperlinks>
  <pageMargins left="0.7" right="0.7" top="0.75" bottom="0.75" header="0.3" footer="0.3"/>
  <pageSetup paperSize="9" orientation="portrait" horizontalDpi="2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2"/>
  <dimension ref="A1:M11"/>
  <sheetViews>
    <sheetView showGridLines="0" workbookViewId="0">
      <selection activeCell="M30" sqref="M30"/>
    </sheetView>
  </sheetViews>
  <sheetFormatPr defaultColWidth="9" defaultRowHeight="13.8" x14ac:dyDescent="0.25"/>
  <cols>
    <col min="1" max="1" width="10" style="22" customWidth="1"/>
    <col min="2" max="2" width="9" customWidth="1"/>
    <col min="3" max="3" width="8.109375" customWidth="1"/>
    <col min="5" max="5" width="7.33203125" customWidth="1"/>
    <col min="6" max="6" width="5.21875" customWidth="1"/>
  </cols>
  <sheetData>
    <row r="1" spans="1:13" ht="14.4" customHeight="1" x14ac:dyDescent="0.25">
      <c r="A1" s="14" t="s">
        <v>36</v>
      </c>
      <c r="B1" s="5" t="s">
        <v>1</v>
      </c>
      <c r="C1" s="5" t="s">
        <v>37</v>
      </c>
      <c r="E1" s="5" t="s">
        <v>30</v>
      </c>
      <c r="F1" s="5" t="s">
        <v>31</v>
      </c>
      <c r="M1" s="4" t="str">
        <f>HYPERLINK("#目录!a1","返回目录")</f>
        <v>返回目录</v>
      </c>
    </row>
    <row r="2" spans="1:13" x14ac:dyDescent="0.25">
      <c r="A2" s="16">
        <v>44084</v>
      </c>
      <c r="B2" s="9" t="s">
        <v>4</v>
      </c>
      <c r="C2" s="23">
        <v>784.28015508786996</v>
      </c>
      <c r="E2" s="9" t="s">
        <v>4</v>
      </c>
      <c r="F2" s="23"/>
    </row>
    <row r="3" spans="1:13" x14ac:dyDescent="0.25">
      <c r="A3" s="19">
        <v>44085</v>
      </c>
      <c r="B3" s="9" t="s">
        <v>6</v>
      </c>
      <c r="C3" s="23">
        <v>703.73896068990598</v>
      </c>
      <c r="E3" s="9" t="s">
        <v>6</v>
      </c>
      <c r="F3" s="23"/>
    </row>
    <row r="4" spans="1:13" x14ac:dyDescent="0.25">
      <c r="A4" s="16">
        <v>44086</v>
      </c>
      <c r="B4" s="9" t="s">
        <v>8</v>
      </c>
      <c r="C4" s="23">
        <v>365.95068845249898</v>
      </c>
      <c r="E4" s="9" t="s">
        <v>8</v>
      </c>
      <c r="F4" s="23"/>
    </row>
    <row r="5" spans="1:13" x14ac:dyDescent="0.25">
      <c r="A5" s="16">
        <v>44087</v>
      </c>
      <c r="B5" s="9" t="s">
        <v>10</v>
      </c>
      <c r="C5" s="23">
        <v>428.46868105800303</v>
      </c>
      <c r="E5" s="9" t="s">
        <v>38</v>
      </c>
      <c r="F5" s="24"/>
    </row>
    <row r="6" spans="1:13" x14ac:dyDescent="0.25">
      <c r="A6" s="16">
        <v>44088</v>
      </c>
      <c r="B6" s="9" t="s">
        <v>4</v>
      </c>
      <c r="C6" s="23">
        <v>957.13144890452895</v>
      </c>
    </row>
    <row r="7" spans="1:13" x14ac:dyDescent="0.25">
      <c r="A7" s="16">
        <v>44089</v>
      </c>
      <c r="B7" s="9" t="s">
        <v>6</v>
      </c>
      <c r="C7" s="23">
        <v>201.562696708121</v>
      </c>
    </row>
    <row r="8" spans="1:13" x14ac:dyDescent="0.25">
      <c r="A8" s="16">
        <v>44090</v>
      </c>
      <c r="B8" s="9" t="s">
        <v>8</v>
      </c>
      <c r="C8" s="23">
        <v>609.69462799095197</v>
      </c>
    </row>
    <row r="9" spans="1:13" x14ac:dyDescent="0.25">
      <c r="A9" s="16">
        <v>44091</v>
      </c>
      <c r="B9" s="9" t="s">
        <v>10</v>
      </c>
      <c r="C9" s="23">
        <v>281.957338438379</v>
      </c>
    </row>
    <row r="10" spans="1:13" x14ac:dyDescent="0.25">
      <c r="A10" s="16">
        <v>44092</v>
      </c>
      <c r="B10" s="36" t="s">
        <v>4</v>
      </c>
      <c r="C10" s="37">
        <v>893.45235659810601</v>
      </c>
    </row>
    <row r="11" spans="1:13" x14ac:dyDescent="0.25">
      <c r="A11" s="16">
        <v>44093</v>
      </c>
      <c r="B11" s="9" t="s">
        <v>6</v>
      </c>
      <c r="C11" s="23">
        <v>767.27235063154706</v>
      </c>
    </row>
  </sheetData>
  <phoneticPr fontId="8" type="noConversion"/>
  <hyperlinks>
    <hyperlink ref="B3" r:id="rId1" xr:uid="{00000000-0004-0000-0500-000000000000}"/>
    <hyperlink ref="B7" r:id="rId2" xr:uid="{00000000-0004-0000-0500-000001000000}"/>
    <hyperlink ref="B11" r:id="rId3" xr:uid="{00000000-0004-0000-0500-000002000000}"/>
    <hyperlink ref="E3" r:id="rId4" xr:uid="{00000000-0004-0000-0500-000003000000}"/>
  </hyperlinks>
  <pageMargins left="0.7" right="0.7" top="0.75" bottom="0.75" header="0.3" footer="0.3"/>
  <pageSetup paperSize="9" orientation="portrait" horizontalDpi="2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M11"/>
  <sheetViews>
    <sheetView showGridLines="0" workbookViewId="0">
      <selection activeCell="H11" sqref="H11"/>
    </sheetView>
  </sheetViews>
  <sheetFormatPr defaultColWidth="9" defaultRowHeight="13.8" x14ac:dyDescent="0.25"/>
  <cols>
    <col min="1" max="1" width="15.44140625" customWidth="1"/>
    <col min="2" max="2" width="9.21875" customWidth="1"/>
    <col min="3" max="3" width="10.44140625" style="13" customWidth="1"/>
    <col min="4" max="4" width="4.33203125" customWidth="1"/>
    <col min="5" max="5" width="15.44140625" customWidth="1"/>
    <col min="6" max="6" width="10.44140625" customWidth="1"/>
    <col min="7" max="7" width="14" customWidth="1"/>
  </cols>
  <sheetData>
    <row r="1" spans="1:13" ht="14.4" customHeight="1" x14ac:dyDescent="0.25">
      <c r="A1" s="14" t="s">
        <v>1</v>
      </c>
      <c r="B1" s="14" t="s">
        <v>2</v>
      </c>
      <c r="C1" s="15" t="s">
        <v>3</v>
      </c>
      <c r="E1" s="15" t="s">
        <v>1</v>
      </c>
      <c r="F1" s="15" t="s">
        <v>3</v>
      </c>
      <c r="M1" s="4" t="str">
        <f>HYPERLINK("#目录!a1","返回目录")</f>
        <v>返回目录</v>
      </c>
    </row>
    <row r="2" spans="1:13" x14ac:dyDescent="0.25">
      <c r="A2" s="16" t="s">
        <v>8</v>
      </c>
      <c r="B2" s="16" t="s">
        <v>9</v>
      </c>
      <c r="C2" s="17">
        <v>334256666</v>
      </c>
      <c r="E2" s="18" t="s">
        <v>24</v>
      </c>
      <c r="F2" s="18"/>
    </row>
    <row r="3" spans="1:13" x14ac:dyDescent="0.25">
      <c r="A3" s="32" t="s">
        <v>20</v>
      </c>
      <c r="B3" s="32" t="s">
        <v>21</v>
      </c>
      <c r="C3" s="20">
        <v>897621456</v>
      </c>
      <c r="E3" s="33" t="s">
        <v>6</v>
      </c>
      <c r="F3" s="21"/>
    </row>
    <row r="4" spans="1:13" x14ac:dyDescent="0.25">
      <c r="A4" s="16" t="s">
        <v>18</v>
      </c>
      <c r="B4" s="16" t="s">
        <v>19</v>
      </c>
      <c r="C4" s="17">
        <v>374845996</v>
      </c>
      <c r="E4" s="18" t="s">
        <v>8</v>
      </c>
      <c r="F4" s="18"/>
    </row>
    <row r="5" spans="1:13" x14ac:dyDescent="0.25">
      <c r="A5" s="16" t="s">
        <v>22</v>
      </c>
      <c r="B5" s="16" t="s">
        <v>23</v>
      </c>
      <c r="C5" s="17">
        <v>517914953</v>
      </c>
      <c r="E5" s="18" t="s">
        <v>10</v>
      </c>
      <c r="F5" s="18"/>
    </row>
    <row r="6" spans="1:13" x14ac:dyDescent="0.25">
      <c r="A6" s="16" t="s">
        <v>12</v>
      </c>
      <c r="B6" s="16" t="s">
        <v>13</v>
      </c>
      <c r="C6" s="17">
        <v>662561250</v>
      </c>
    </row>
    <row r="7" spans="1:13" x14ac:dyDescent="0.25">
      <c r="A7" s="16" t="s">
        <v>10</v>
      </c>
      <c r="B7" s="16" t="s">
        <v>11</v>
      </c>
      <c r="C7" s="17">
        <v>225129026</v>
      </c>
    </row>
    <row r="8" spans="1:13" x14ac:dyDescent="0.25">
      <c r="A8" s="16" t="s">
        <v>16</v>
      </c>
      <c r="B8" s="16" t="s">
        <v>17</v>
      </c>
      <c r="C8" s="17">
        <v>980232559</v>
      </c>
    </row>
    <row r="9" spans="1:13" x14ac:dyDescent="0.25">
      <c r="A9" s="16" t="s">
        <v>6</v>
      </c>
      <c r="B9" s="16" t="s">
        <v>7</v>
      </c>
      <c r="C9" s="17">
        <v>307051208</v>
      </c>
    </row>
    <row r="10" spans="1:13" x14ac:dyDescent="0.25">
      <c r="A10" s="16" t="s">
        <v>4</v>
      </c>
      <c r="B10" s="16" t="s">
        <v>5</v>
      </c>
      <c r="C10" s="17">
        <v>210225690</v>
      </c>
    </row>
    <row r="11" spans="1:13" x14ac:dyDescent="0.25">
      <c r="A11" s="16" t="s">
        <v>14</v>
      </c>
      <c r="B11" s="16" t="s">
        <v>15</v>
      </c>
      <c r="C11" s="17">
        <v>282636530</v>
      </c>
    </row>
  </sheetData>
  <phoneticPr fontId="8" type="noConversion"/>
  <hyperlinks>
    <hyperlink ref="E3" r:id="rId1" xr:uid="{00000000-0004-0000-0600-000000000000}"/>
    <hyperlink ref="A9" r:id="rId2" xr:uid="{00000000-0004-0000-0600-000001000000}"/>
  </hyperlinks>
  <pageMargins left="0.7" right="0.7" top="0.75" bottom="0.75" header="0.3" footer="0.3"/>
  <pageSetup paperSize="9" orientation="portrait" horizontalDpi="2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3"/>
  <dimension ref="A1:M11"/>
  <sheetViews>
    <sheetView showGridLines="0" workbookViewId="0">
      <selection activeCell="J10" sqref="J10"/>
    </sheetView>
  </sheetViews>
  <sheetFormatPr defaultColWidth="9" defaultRowHeight="13.8" x14ac:dyDescent="0.25"/>
  <cols>
    <col min="1" max="1" width="6.6640625" customWidth="1"/>
    <col min="2" max="4" width="5.21875" customWidth="1"/>
    <col min="6" max="6" width="5.21875" customWidth="1"/>
  </cols>
  <sheetData>
    <row r="1" spans="1:13" ht="14.4" customHeight="1" x14ac:dyDescent="0.25">
      <c r="A1" s="5" t="s">
        <v>1</v>
      </c>
      <c r="B1" s="5" t="s">
        <v>39</v>
      </c>
      <c r="C1" s="5" t="s">
        <v>40</v>
      </c>
      <c r="D1" s="5" t="s">
        <v>41</v>
      </c>
      <c r="F1" s="5" t="s">
        <v>39</v>
      </c>
      <c r="M1" s="4" t="str">
        <f>HYPERLINK("#目录!a1","返回目录")</f>
        <v>返回目录</v>
      </c>
    </row>
    <row r="2" spans="1:13" x14ac:dyDescent="0.25">
      <c r="A2" s="9" t="s">
        <v>4</v>
      </c>
      <c r="B2" s="9">
        <v>47</v>
      </c>
      <c r="C2" s="9">
        <v>92</v>
      </c>
      <c r="D2" s="9">
        <v>18</v>
      </c>
      <c r="F2" s="9"/>
    </row>
    <row r="3" spans="1:13" x14ac:dyDescent="0.25">
      <c r="A3" s="10"/>
      <c r="B3" s="9"/>
      <c r="C3" s="9"/>
    </row>
    <row r="4" spans="1:13" x14ac:dyDescent="0.25">
      <c r="A4" s="9"/>
      <c r="B4" s="9"/>
      <c r="C4" s="9"/>
    </row>
    <row r="5" spans="1:13" x14ac:dyDescent="0.25">
      <c r="A5" s="9"/>
      <c r="B5" s="9"/>
      <c r="C5" s="9"/>
    </row>
    <row r="6" spans="1:13" x14ac:dyDescent="0.25">
      <c r="A6" s="9"/>
      <c r="B6" s="9"/>
      <c r="C6" s="9"/>
    </row>
    <row r="7" spans="1:13" x14ac:dyDescent="0.25">
      <c r="A7" s="9"/>
      <c r="B7" s="9"/>
      <c r="C7" s="9"/>
    </row>
    <row r="8" spans="1:13" x14ac:dyDescent="0.25">
      <c r="A8" s="9"/>
      <c r="B8" s="9"/>
      <c r="C8" s="9"/>
    </row>
    <row r="9" spans="1:13" x14ac:dyDescent="0.25">
      <c r="A9" s="9"/>
      <c r="B9" s="9"/>
      <c r="C9" s="9"/>
    </row>
    <row r="10" spans="1:13" x14ac:dyDescent="0.25">
      <c r="A10" s="9"/>
      <c r="B10" s="9"/>
      <c r="C10" s="9"/>
    </row>
    <row r="11" spans="1:13" x14ac:dyDescent="0.25">
      <c r="A11" s="9"/>
      <c r="B11" s="9"/>
      <c r="C11" s="9"/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M11"/>
  <sheetViews>
    <sheetView showGridLines="0" workbookViewId="0">
      <selection activeCell="M25" sqref="M25"/>
    </sheetView>
  </sheetViews>
  <sheetFormatPr defaultColWidth="9" defaultRowHeight="13.8" x14ac:dyDescent="0.25"/>
  <cols>
    <col min="1" max="1" width="12.33203125" customWidth="1"/>
    <col min="2" max="2" width="8.44140625" customWidth="1"/>
    <col min="3" max="3" width="4.33203125" customWidth="1"/>
    <col min="4" max="4" width="14.88671875" customWidth="1"/>
    <col min="5" max="5" width="14" customWidth="1"/>
  </cols>
  <sheetData>
    <row r="1" spans="1:13" ht="14.4" customHeight="1" x14ac:dyDescent="0.25">
      <c r="A1" s="5" t="s">
        <v>42</v>
      </c>
      <c r="B1" s="5" t="s">
        <v>43</v>
      </c>
      <c r="D1" s="1" t="s">
        <v>42</v>
      </c>
      <c r="E1" s="1" t="s">
        <v>43</v>
      </c>
      <c r="M1" s="4" t="str">
        <f>HYPERLINK("#目录!a1","返回目录")</f>
        <v>返回目录</v>
      </c>
    </row>
    <row r="2" spans="1:13" x14ac:dyDescent="0.25">
      <c r="A2" s="9" t="s">
        <v>44</v>
      </c>
      <c r="B2" s="9">
        <v>41</v>
      </c>
      <c r="C2" s="9"/>
      <c r="D2" s="2" t="s">
        <v>45</v>
      </c>
      <c r="E2" s="2"/>
    </row>
    <row r="3" spans="1:13" x14ac:dyDescent="0.25">
      <c r="A3" s="30" t="s">
        <v>46</v>
      </c>
      <c r="B3" s="9">
        <v>87</v>
      </c>
      <c r="C3" s="9"/>
    </row>
    <row r="4" spans="1:13" x14ac:dyDescent="0.25">
      <c r="A4" s="9" t="s">
        <v>47</v>
      </c>
      <c r="B4" s="9">
        <v>43</v>
      </c>
      <c r="C4" s="9"/>
    </row>
    <row r="5" spans="1:13" x14ac:dyDescent="0.25">
      <c r="A5" s="9" t="s">
        <v>48</v>
      </c>
      <c r="B5" s="9">
        <v>8</v>
      </c>
      <c r="C5" s="9"/>
    </row>
    <row r="6" spans="1:13" x14ac:dyDescent="0.25">
      <c r="A6" s="9" t="s">
        <v>49</v>
      </c>
      <c r="B6" s="9">
        <v>86</v>
      </c>
      <c r="C6" s="9"/>
    </row>
    <row r="7" spans="1:13" x14ac:dyDescent="0.25">
      <c r="A7" s="9" t="s">
        <v>45</v>
      </c>
      <c r="B7" s="9">
        <v>86</v>
      </c>
      <c r="C7" s="9"/>
    </row>
    <row r="8" spans="1:13" x14ac:dyDescent="0.25">
      <c r="A8" s="9" t="s">
        <v>50</v>
      </c>
      <c r="B8" s="9">
        <v>1</v>
      </c>
      <c r="C8" s="9"/>
    </row>
    <row r="9" spans="1:13" x14ac:dyDescent="0.25">
      <c r="A9" s="9" t="s">
        <v>51</v>
      </c>
      <c r="B9" s="9">
        <v>85</v>
      </c>
      <c r="C9" s="9"/>
    </row>
    <row r="10" spans="1:13" x14ac:dyDescent="0.25">
      <c r="A10" s="9" t="s">
        <v>52</v>
      </c>
      <c r="B10" s="9">
        <v>1</v>
      </c>
      <c r="C10" s="9"/>
    </row>
    <row r="11" spans="1:13" x14ac:dyDescent="0.25">
      <c r="A11" s="9" t="s">
        <v>53</v>
      </c>
      <c r="B11" s="9">
        <v>89</v>
      </c>
      <c r="C11" s="9"/>
    </row>
  </sheetData>
  <phoneticPr fontId="8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M11"/>
  <sheetViews>
    <sheetView showGridLines="0" workbookViewId="0">
      <selection activeCell="P30" sqref="P30"/>
    </sheetView>
  </sheetViews>
  <sheetFormatPr defaultColWidth="9" defaultRowHeight="13.8" x14ac:dyDescent="0.25"/>
  <cols>
    <col min="1" max="1" width="12.109375" customWidth="1"/>
    <col min="2" max="2" width="7.109375" customWidth="1"/>
    <col min="3" max="3" width="10.44140625" customWidth="1"/>
    <col min="4" max="4" width="5.21875" customWidth="1"/>
    <col min="5" max="5" width="4.33203125" customWidth="1"/>
    <col min="6" max="6" width="15.44140625" customWidth="1"/>
    <col min="7" max="7" width="7.109375" customWidth="1"/>
    <col min="8" max="8" width="10.44140625" customWidth="1"/>
    <col min="9" max="9" width="5.21875" customWidth="1"/>
  </cols>
  <sheetData>
    <row r="1" spans="1:13" ht="14.4" customHeight="1" x14ac:dyDescent="0.25">
      <c r="A1" s="5" t="s">
        <v>1</v>
      </c>
      <c r="B1" s="5" t="s">
        <v>2</v>
      </c>
      <c r="C1" s="5" t="s">
        <v>3</v>
      </c>
      <c r="D1" s="5" t="s">
        <v>29</v>
      </c>
      <c r="F1" s="5" t="s">
        <v>1</v>
      </c>
      <c r="G1" s="5" t="s">
        <v>2</v>
      </c>
      <c r="H1" s="11" t="s">
        <v>3</v>
      </c>
      <c r="I1" s="11" t="s">
        <v>29</v>
      </c>
      <c r="M1" s="4" t="str">
        <f>HYPERLINK("#目录!a1","返回目录")</f>
        <v>返回目录</v>
      </c>
    </row>
    <row r="2" spans="1:13" x14ac:dyDescent="0.25">
      <c r="A2" s="9" t="s">
        <v>4</v>
      </c>
      <c r="B2" s="9" t="s">
        <v>5</v>
      </c>
      <c r="C2" s="9">
        <v>779022457</v>
      </c>
      <c r="D2" s="9">
        <v>84</v>
      </c>
      <c r="F2" s="9" t="s">
        <v>4</v>
      </c>
      <c r="G2" s="12"/>
      <c r="H2" s="12"/>
      <c r="I2" s="12"/>
    </row>
    <row r="3" spans="1:13" x14ac:dyDescent="0.25">
      <c r="A3" s="30" t="s">
        <v>6</v>
      </c>
      <c r="B3" s="9" t="s">
        <v>7</v>
      </c>
      <c r="C3" s="9">
        <v>567827150</v>
      </c>
      <c r="D3" s="9">
        <v>90</v>
      </c>
      <c r="F3" s="9" t="s">
        <v>6</v>
      </c>
      <c r="G3" s="12"/>
      <c r="H3" s="12"/>
      <c r="I3" s="12"/>
    </row>
    <row r="4" spans="1:13" x14ac:dyDescent="0.25">
      <c r="A4" s="9" t="s">
        <v>8</v>
      </c>
      <c r="B4" s="9" t="s">
        <v>9</v>
      </c>
      <c r="C4" s="9">
        <v>571417126</v>
      </c>
      <c r="D4" s="9">
        <v>100</v>
      </c>
      <c r="F4" s="9" t="s">
        <v>8</v>
      </c>
      <c r="G4" s="12"/>
      <c r="H4" s="12"/>
      <c r="I4" s="12"/>
    </row>
    <row r="5" spans="1:13" x14ac:dyDescent="0.25">
      <c r="A5" s="9" t="s">
        <v>10</v>
      </c>
      <c r="B5" s="9" t="s">
        <v>11</v>
      </c>
      <c r="C5" s="9">
        <v>751953584</v>
      </c>
      <c r="D5" s="9">
        <v>82</v>
      </c>
      <c r="F5" s="9" t="s">
        <v>10</v>
      </c>
      <c r="G5" s="12"/>
      <c r="H5" s="12"/>
      <c r="I5" s="12"/>
    </row>
    <row r="6" spans="1:13" x14ac:dyDescent="0.25">
      <c r="A6" s="9" t="s">
        <v>12</v>
      </c>
      <c r="B6" s="9" t="s">
        <v>13</v>
      </c>
      <c r="C6" s="9">
        <v>112318077</v>
      </c>
      <c r="D6" s="9">
        <v>82</v>
      </c>
      <c r="F6" s="9" t="s">
        <v>12</v>
      </c>
      <c r="G6" s="12"/>
      <c r="H6" s="12"/>
      <c r="I6" s="12"/>
    </row>
    <row r="7" spans="1:13" x14ac:dyDescent="0.25">
      <c r="A7" s="9" t="s">
        <v>14</v>
      </c>
      <c r="B7" s="9" t="s">
        <v>15</v>
      </c>
      <c r="C7" s="9">
        <v>236894590</v>
      </c>
      <c r="D7" s="9">
        <v>90</v>
      </c>
    </row>
    <row r="8" spans="1:13" x14ac:dyDescent="0.25">
      <c r="A8" s="9" t="s">
        <v>16</v>
      </c>
      <c r="B8" s="9" t="s">
        <v>17</v>
      </c>
      <c r="C8" s="9">
        <v>692553880</v>
      </c>
      <c r="D8" s="9">
        <v>96</v>
      </c>
    </row>
    <row r="9" spans="1:13" x14ac:dyDescent="0.25">
      <c r="A9" s="9" t="s">
        <v>18</v>
      </c>
      <c r="B9" s="9" t="s">
        <v>19</v>
      </c>
      <c r="C9" s="9">
        <v>421328475</v>
      </c>
      <c r="D9" s="9">
        <v>83</v>
      </c>
    </row>
    <row r="10" spans="1:13" x14ac:dyDescent="0.25">
      <c r="A10" s="9" t="s">
        <v>20</v>
      </c>
      <c r="B10" s="9" t="s">
        <v>21</v>
      </c>
      <c r="C10" s="9">
        <v>951770854</v>
      </c>
      <c r="D10" s="9">
        <v>81</v>
      </c>
    </row>
    <row r="11" spans="1:13" x14ac:dyDescent="0.25">
      <c r="A11" s="9" t="s">
        <v>22</v>
      </c>
      <c r="B11" s="9" t="s">
        <v>23</v>
      </c>
      <c r="C11" s="9">
        <v>865856370</v>
      </c>
      <c r="D11" s="9">
        <v>92</v>
      </c>
    </row>
  </sheetData>
  <phoneticPr fontId="8" type="noConversion"/>
  <hyperlinks>
    <hyperlink ref="A3" r:id="rId1" xr:uid="{00000000-0004-0000-0900-000000000000}"/>
    <hyperlink ref="F3" r:id="rId2" xr:uid="{00000000-0004-0000-0900-000001000000}"/>
  </hyperlinks>
  <pageMargins left="0.7" right="0.7" top="0.75" bottom="0.75" header="0.3" footer="0.3"/>
  <pageSetup paperSize="9" orientation="portrait" horizontalDpi="2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M11"/>
  <sheetViews>
    <sheetView showGridLines="0" workbookViewId="0">
      <selection activeCell="M1" sqref="M1"/>
    </sheetView>
  </sheetViews>
  <sheetFormatPr defaultColWidth="9" defaultRowHeight="13.8" x14ac:dyDescent="0.25"/>
  <cols>
    <col min="1" max="1" width="15.44140625" customWidth="1"/>
    <col min="2" max="2" width="7.109375" customWidth="1"/>
    <col min="3" max="3" width="10.44140625" customWidth="1"/>
    <col min="4" max="4" width="5.21875" customWidth="1"/>
    <col min="5" max="5" width="4.33203125" customWidth="1"/>
    <col min="6" max="6" width="15.44140625" customWidth="1"/>
    <col min="7" max="7" width="10.44140625" customWidth="1"/>
    <col min="8" max="8" width="7.109375" customWidth="1"/>
    <col min="9" max="9" width="5.21875" customWidth="1"/>
  </cols>
  <sheetData>
    <row r="1" spans="1:13" ht="14.4" customHeight="1" x14ac:dyDescent="0.25">
      <c r="A1" s="5" t="s">
        <v>1</v>
      </c>
      <c r="B1" s="5" t="s">
        <v>2</v>
      </c>
      <c r="C1" s="5" t="s">
        <v>3</v>
      </c>
      <c r="D1" s="5" t="s">
        <v>29</v>
      </c>
      <c r="F1" s="5" t="s">
        <v>1</v>
      </c>
      <c r="G1" s="5" t="s">
        <v>3</v>
      </c>
      <c r="H1" s="5" t="s">
        <v>2</v>
      </c>
      <c r="I1" s="5" t="s">
        <v>29</v>
      </c>
      <c r="M1" s="4" t="str">
        <f>HYPERLINK("#目录!a1","返回目录")</f>
        <v>返回目录</v>
      </c>
    </row>
    <row r="2" spans="1:13" x14ac:dyDescent="0.25">
      <c r="A2" s="9" t="s">
        <v>4</v>
      </c>
      <c r="B2" s="9" t="s">
        <v>5</v>
      </c>
      <c r="C2" s="9">
        <v>748609895</v>
      </c>
      <c r="D2" s="9">
        <v>84</v>
      </c>
      <c r="F2" s="9" t="s">
        <v>4</v>
      </c>
      <c r="G2" s="40" t="s">
        <v>80</v>
      </c>
      <c r="H2" s="12"/>
      <c r="I2" s="12"/>
    </row>
    <row r="3" spans="1:13" x14ac:dyDescent="0.25">
      <c r="A3" s="30" t="s">
        <v>6</v>
      </c>
      <c r="B3" s="9" t="s">
        <v>7</v>
      </c>
      <c r="C3" s="9">
        <v>209104271</v>
      </c>
      <c r="D3" s="9">
        <v>90</v>
      </c>
      <c r="F3" s="9" t="s">
        <v>6</v>
      </c>
      <c r="G3" s="12"/>
      <c r="H3" s="12"/>
      <c r="I3" s="12"/>
    </row>
    <row r="4" spans="1:13" x14ac:dyDescent="0.25">
      <c r="A4" s="9" t="s">
        <v>8</v>
      </c>
      <c r="B4" s="9" t="s">
        <v>9</v>
      </c>
      <c r="C4" s="9">
        <v>121283069</v>
      </c>
      <c r="D4" s="9">
        <v>100</v>
      </c>
      <c r="F4" s="9" t="s">
        <v>8</v>
      </c>
      <c r="G4" s="12"/>
      <c r="H4" s="12"/>
      <c r="I4" s="12"/>
    </row>
    <row r="5" spans="1:13" x14ac:dyDescent="0.25">
      <c r="A5" s="9" t="s">
        <v>10</v>
      </c>
      <c r="B5" s="9" t="s">
        <v>11</v>
      </c>
      <c r="C5" s="9">
        <v>351805749</v>
      </c>
      <c r="D5" s="9">
        <v>82</v>
      </c>
      <c r="F5" s="9" t="s">
        <v>10</v>
      </c>
      <c r="G5" s="12"/>
      <c r="H5" s="12"/>
      <c r="I5" s="12"/>
    </row>
    <row r="6" spans="1:13" x14ac:dyDescent="0.25">
      <c r="A6" s="9" t="s">
        <v>12</v>
      </c>
      <c r="B6" s="9" t="s">
        <v>13</v>
      </c>
      <c r="C6" s="9">
        <v>308320645</v>
      </c>
      <c r="D6" s="9">
        <v>82</v>
      </c>
      <c r="F6" s="9" t="s">
        <v>12</v>
      </c>
      <c r="G6" s="12"/>
      <c r="H6" s="12"/>
      <c r="I6" s="12"/>
    </row>
    <row r="7" spans="1:13" x14ac:dyDescent="0.25">
      <c r="A7" s="9" t="s">
        <v>14</v>
      </c>
      <c r="B7" s="9" t="s">
        <v>15</v>
      </c>
      <c r="C7" s="9">
        <v>537355200</v>
      </c>
      <c r="D7" s="9">
        <v>90</v>
      </c>
    </row>
    <row r="8" spans="1:13" x14ac:dyDescent="0.25">
      <c r="A8" s="9" t="s">
        <v>16</v>
      </c>
      <c r="B8" s="9" t="s">
        <v>17</v>
      </c>
      <c r="C8" s="9">
        <v>295261571</v>
      </c>
      <c r="D8" s="9">
        <v>96</v>
      </c>
    </row>
    <row r="9" spans="1:13" x14ac:dyDescent="0.25">
      <c r="A9" s="9" t="s">
        <v>18</v>
      </c>
      <c r="B9" s="9" t="s">
        <v>19</v>
      </c>
      <c r="C9" s="9">
        <v>973248527</v>
      </c>
      <c r="D9" s="9">
        <v>83</v>
      </c>
    </row>
    <row r="10" spans="1:13" x14ac:dyDescent="0.25">
      <c r="A10" s="9" t="s">
        <v>20</v>
      </c>
      <c r="B10" s="9" t="s">
        <v>21</v>
      </c>
      <c r="C10" s="9">
        <v>413389851</v>
      </c>
      <c r="D10" s="9">
        <v>81</v>
      </c>
    </row>
    <row r="11" spans="1:13" x14ac:dyDescent="0.25">
      <c r="A11" s="9" t="s">
        <v>22</v>
      </c>
      <c r="B11" s="9" t="s">
        <v>23</v>
      </c>
      <c r="C11" s="9">
        <v>937240103</v>
      </c>
      <c r="D11" s="9">
        <v>92</v>
      </c>
    </row>
  </sheetData>
  <phoneticPr fontId="8" type="noConversion"/>
  <hyperlinks>
    <hyperlink ref="A3" r:id="rId1" xr:uid="{00000000-0004-0000-0A00-000000000000}"/>
    <hyperlink ref="F3" r:id="rId2" xr:uid="{00000000-0004-0000-0A00-000001000000}"/>
  </hyperlinks>
  <pageMargins left="0.7" right="0.7" top="0.75" bottom="0.75" header="0.3" footer="0.3"/>
  <pageSetup paperSize="9" orientation="portrait" horizontalDpi="2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M11"/>
  <sheetViews>
    <sheetView showGridLines="0" workbookViewId="0">
      <selection activeCell="G2" sqref="G2"/>
    </sheetView>
  </sheetViews>
  <sheetFormatPr defaultColWidth="9" defaultRowHeight="13.8" x14ac:dyDescent="0.25"/>
  <cols>
    <col min="1" max="1" width="5.44140625" customWidth="1"/>
    <col min="2" max="2" width="15.44140625" customWidth="1"/>
    <col min="3" max="3" width="5.21875" customWidth="1"/>
    <col min="4" max="4" width="4.33203125" customWidth="1"/>
    <col min="5" max="5" width="5.44140625" customWidth="1"/>
    <col min="7" max="7" width="8.6640625" customWidth="1"/>
  </cols>
  <sheetData>
    <row r="1" spans="1:13" ht="14.4" customHeight="1" x14ac:dyDescent="0.25">
      <c r="A1" s="5" t="s">
        <v>54</v>
      </c>
      <c r="B1" s="5" t="s">
        <v>1</v>
      </c>
      <c r="C1" s="5" t="s">
        <v>29</v>
      </c>
      <c r="E1" s="5" t="s">
        <v>54</v>
      </c>
      <c r="F1" s="5" t="s">
        <v>1</v>
      </c>
      <c r="G1" s="5" t="s">
        <v>29</v>
      </c>
      <c r="M1" s="4" t="str">
        <f>HYPERLINK("#目录!a1","返回目录")</f>
        <v>返回目录</v>
      </c>
    </row>
    <row r="2" spans="1:13" x14ac:dyDescent="0.25">
      <c r="A2" s="9">
        <v>2018</v>
      </c>
      <c r="B2" s="9" t="s">
        <v>4</v>
      </c>
      <c r="C2" s="9">
        <v>84</v>
      </c>
      <c r="E2" s="9">
        <v>2018</v>
      </c>
      <c r="F2" s="9" t="s">
        <v>4</v>
      </c>
      <c r="G2" s="10"/>
    </row>
    <row r="3" spans="1:13" x14ac:dyDescent="0.25">
      <c r="A3" s="10">
        <v>2018</v>
      </c>
      <c r="B3" s="30" t="s">
        <v>10</v>
      </c>
      <c r="C3" s="10">
        <v>82</v>
      </c>
      <c r="E3" s="10">
        <v>2019</v>
      </c>
      <c r="F3" s="30" t="s">
        <v>4</v>
      </c>
      <c r="G3" s="10"/>
    </row>
    <row r="4" spans="1:13" x14ac:dyDescent="0.25">
      <c r="A4" s="9">
        <v>2018</v>
      </c>
      <c r="B4" s="9" t="s">
        <v>14</v>
      </c>
      <c r="C4" s="9">
        <v>83</v>
      </c>
      <c r="E4" s="9">
        <v>2019</v>
      </c>
      <c r="F4" s="9" t="s">
        <v>10</v>
      </c>
      <c r="G4" s="10"/>
    </row>
    <row r="5" spans="1:13" x14ac:dyDescent="0.25">
      <c r="A5" s="9">
        <v>2018</v>
      </c>
      <c r="B5" s="9" t="s">
        <v>12</v>
      </c>
      <c r="C5" s="9">
        <v>100</v>
      </c>
    </row>
    <row r="6" spans="1:13" x14ac:dyDescent="0.25">
      <c r="A6" s="9">
        <v>2019</v>
      </c>
      <c r="B6" s="9" t="s">
        <v>4</v>
      </c>
      <c r="C6" s="9">
        <v>92</v>
      </c>
    </row>
    <row r="7" spans="1:13" x14ac:dyDescent="0.25">
      <c r="A7" s="9">
        <v>2019</v>
      </c>
      <c r="B7" s="9" t="s">
        <v>10</v>
      </c>
      <c r="C7" s="9">
        <v>90</v>
      </c>
    </row>
    <row r="8" spans="1:13" x14ac:dyDescent="0.25">
      <c r="A8" s="9">
        <v>2019</v>
      </c>
      <c r="B8" s="9" t="s">
        <v>14</v>
      </c>
      <c r="C8" s="9">
        <v>96</v>
      </c>
    </row>
    <row r="9" spans="1:13" x14ac:dyDescent="0.25">
      <c r="A9" s="9">
        <v>2019</v>
      </c>
      <c r="B9" s="9" t="s">
        <v>12</v>
      </c>
      <c r="C9" s="9">
        <v>90</v>
      </c>
    </row>
    <row r="10" spans="1:13" x14ac:dyDescent="0.25">
      <c r="A10" s="9">
        <v>2019</v>
      </c>
      <c r="B10" s="9" t="s">
        <v>6</v>
      </c>
      <c r="C10" s="9">
        <v>81</v>
      </c>
    </row>
    <row r="11" spans="1:13" x14ac:dyDescent="0.25">
      <c r="A11" s="9">
        <v>2019</v>
      </c>
      <c r="B11" s="9" t="s">
        <v>22</v>
      </c>
      <c r="C11" s="9">
        <v>82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M10"/>
  <sheetViews>
    <sheetView showGridLines="0" workbookViewId="0">
      <selection activeCell="R30" sqref="R30"/>
    </sheetView>
  </sheetViews>
  <sheetFormatPr defaultColWidth="9" defaultRowHeight="13.8" x14ac:dyDescent="0.25"/>
  <cols>
    <col min="1" max="1" width="10.21875" customWidth="1"/>
    <col min="3" max="3" width="7.44140625" customWidth="1"/>
    <col min="5" max="5" width="10.21875" customWidth="1"/>
  </cols>
  <sheetData>
    <row r="1" spans="1:13" x14ac:dyDescent="0.25">
      <c r="A1" s="5" t="s">
        <v>36</v>
      </c>
      <c r="B1" s="5" t="s">
        <v>55</v>
      </c>
      <c r="D1" s="5" t="s">
        <v>56</v>
      </c>
      <c r="E1" s="6">
        <v>43891</v>
      </c>
      <c r="M1" s="4" t="str">
        <f>HYPERLINK("#目录!a1","返回目录")</f>
        <v>返回目录</v>
      </c>
    </row>
    <row r="2" spans="1:13" x14ac:dyDescent="0.25">
      <c r="A2" s="6">
        <v>43831</v>
      </c>
      <c r="B2">
        <v>221</v>
      </c>
      <c r="D2" s="5" t="s">
        <v>57</v>
      </c>
      <c r="E2" s="6">
        <v>44013</v>
      </c>
    </row>
    <row r="3" spans="1:13" x14ac:dyDescent="0.25">
      <c r="A3" s="6">
        <v>43862</v>
      </c>
      <c r="B3">
        <v>586</v>
      </c>
      <c r="D3" s="7" t="s">
        <v>58</v>
      </c>
      <c r="E3" s="8"/>
    </row>
    <row r="4" spans="1:13" x14ac:dyDescent="0.25">
      <c r="A4" s="6">
        <v>43891</v>
      </c>
      <c r="B4">
        <v>388</v>
      </c>
    </row>
    <row r="5" spans="1:13" x14ac:dyDescent="0.25">
      <c r="A5" s="6">
        <v>43922</v>
      </c>
      <c r="B5">
        <v>628</v>
      </c>
    </row>
    <row r="6" spans="1:13" x14ac:dyDescent="0.25">
      <c r="A6" s="6">
        <v>43952</v>
      </c>
      <c r="B6">
        <v>481</v>
      </c>
    </row>
    <row r="7" spans="1:13" x14ac:dyDescent="0.25">
      <c r="A7" s="6">
        <v>43983</v>
      </c>
      <c r="B7">
        <v>615</v>
      </c>
    </row>
    <row r="8" spans="1:13" x14ac:dyDescent="0.25">
      <c r="A8" s="6">
        <v>44013</v>
      </c>
      <c r="B8">
        <v>461</v>
      </c>
    </row>
    <row r="9" spans="1:13" x14ac:dyDescent="0.25">
      <c r="A9" s="6">
        <v>44044</v>
      </c>
      <c r="B9">
        <v>987</v>
      </c>
    </row>
    <row r="10" spans="1:13" x14ac:dyDescent="0.25">
      <c r="A10" s="6">
        <v>44075</v>
      </c>
      <c r="B10">
        <v>997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1"/>
  <dimension ref="A1:M7"/>
  <sheetViews>
    <sheetView showGridLines="0" workbookViewId="0">
      <selection activeCell="M3" sqref="M3"/>
    </sheetView>
  </sheetViews>
  <sheetFormatPr defaultColWidth="9" defaultRowHeight="13.8" x14ac:dyDescent="0.25"/>
  <cols>
    <col min="1" max="1" width="14.109375" customWidth="1"/>
    <col min="2" max="2" width="9.6640625" customWidth="1"/>
    <col min="3" max="3" width="4.33203125" customWidth="1"/>
  </cols>
  <sheetData>
    <row r="1" spans="1:13" x14ac:dyDescent="0.25">
      <c r="A1" s="1" t="s">
        <v>54</v>
      </c>
      <c r="B1" s="3" t="s">
        <v>59</v>
      </c>
      <c r="M1" s="4" t="str">
        <f>HYPERLINK("#目录!a1","返回目录")</f>
        <v>返回目录</v>
      </c>
    </row>
    <row r="2" spans="1:13" x14ac:dyDescent="0.25">
      <c r="M2" t="str">
        <f ca="1">_xlfn.FORMULATEXT(M1)</f>
        <v>=HYPERLINK("#目录!a1","返回目录")</v>
      </c>
    </row>
    <row r="3" spans="1:13" ht="14.4" customHeight="1" x14ac:dyDescent="0.25">
      <c r="A3" s="1" t="s">
        <v>1</v>
      </c>
      <c r="B3" s="1" t="s">
        <v>29</v>
      </c>
    </row>
    <row r="4" spans="1:13" x14ac:dyDescent="0.25">
      <c r="A4" s="2" t="s">
        <v>4</v>
      </c>
      <c r="B4" s="2"/>
    </row>
    <row r="5" spans="1:13" x14ac:dyDescent="0.25">
      <c r="A5" s="34" t="s">
        <v>6</v>
      </c>
      <c r="B5" s="2"/>
    </row>
    <row r="6" spans="1:13" x14ac:dyDescent="0.25">
      <c r="A6" s="2" t="s">
        <v>8</v>
      </c>
      <c r="B6" s="2"/>
    </row>
    <row r="7" spans="1:13" x14ac:dyDescent="0.25">
      <c r="A7" s="2" t="s">
        <v>10</v>
      </c>
      <c r="B7" s="2"/>
    </row>
  </sheetData>
  <phoneticPr fontId="8" type="noConversion"/>
  <dataValidations count="1">
    <dataValidation type="list" allowBlank="1" showInputMessage="1" showErrorMessage="1" sqref="B1" xr:uid="{00000000-0002-0000-0D00-000000000000}">
      <formula1>"2017年,2018年,2019年"</formula1>
    </dataValidation>
  </dataValidations>
  <hyperlinks>
    <hyperlink ref="A5" r:id="rId1" xr:uid="{00000000-0004-0000-0D00-000000000000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B11"/>
  <sheetViews>
    <sheetView showGridLines="0" workbookViewId="0">
      <selection activeCell="B6" sqref="B6"/>
    </sheetView>
  </sheetViews>
  <sheetFormatPr defaultColWidth="9" defaultRowHeight="13.8" x14ac:dyDescent="0.25"/>
  <cols>
    <col min="1" max="1" width="14.109375" customWidth="1"/>
    <col min="2" max="2" width="7.88671875" customWidth="1"/>
  </cols>
  <sheetData>
    <row r="1" spans="1:2" x14ac:dyDescent="0.25">
      <c r="A1" s="1" t="s">
        <v>1</v>
      </c>
      <c r="B1" s="1" t="s">
        <v>29</v>
      </c>
    </row>
    <row r="2" spans="1:2" x14ac:dyDescent="0.25">
      <c r="A2" s="2" t="s">
        <v>4</v>
      </c>
      <c r="B2" s="2">
        <v>77</v>
      </c>
    </row>
    <row r="3" spans="1:2" x14ac:dyDescent="0.25">
      <c r="A3" s="34" t="s">
        <v>6</v>
      </c>
      <c r="B3" s="2">
        <v>6</v>
      </c>
    </row>
    <row r="4" spans="1:2" x14ac:dyDescent="0.25">
      <c r="A4" s="2" t="s">
        <v>8</v>
      </c>
      <c r="B4" s="2">
        <v>51</v>
      </c>
    </row>
    <row r="5" spans="1:2" x14ac:dyDescent="0.25">
      <c r="A5" s="2" t="s">
        <v>10</v>
      </c>
      <c r="B5" s="2">
        <v>81</v>
      </c>
    </row>
    <row r="6" spans="1:2" x14ac:dyDescent="0.25">
      <c r="A6" s="2" t="s">
        <v>12</v>
      </c>
      <c r="B6" s="2">
        <v>48</v>
      </c>
    </row>
    <row r="7" spans="1:2" x14ac:dyDescent="0.25">
      <c r="A7" s="2" t="s">
        <v>14</v>
      </c>
      <c r="B7" s="2">
        <v>27</v>
      </c>
    </row>
    <row r="8" spans="1:2" x14ac:dyDescent="0.25">
      <c r="A8" s="2" t="s">
        <v>16</v>
      </c>
      <c r="B8" s="2">
        <v>83</v>
      </c>
    </row>
    <row r="9" spans="1:2" x14ac:dyDescent="0.25">
      <c r="A9" s="2" t="s">
        <v>18</v>
      </c>
      <c r="B9" s="2">
        <v>38</v>
      </c>
    </row>
    <row r="10" spans="1:2" x14ac:dyDescent="0.25">
      <c r="A10" s="2" t="s">
        <v>20</v>
      </c>
      <c r="B10" s="2">
        <v>17</v>
      </c>
    </row>
    <row r="11" spans="1:2" x14ac:dyDescent="0.25">
      <c r="A11" s="2" t="s">
        <v>22</v>
      </c>
      <c r="B11" s="2">
        <v>69</v>
      </c>
    </row>
  </sheetData>
  <phoneticPr fontId="8" type="noConversion"/>
  <hyperlinks>
    <hyperlink ref="A3" r:id="rId1" xr:uid="{00000000-0004-0000-0E00-000000000000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B11"/>
  <sheetViews>
    <sheetView showGridLines="0" workbookViewId="0">
      <selection activeCell="B3" sqref="B3"/>
    </sheetView>
  </sheetViews>
  <sheetFormatPr defaultColWidth="9" defaultRowHeight="13.8" x14ac:dyDescent="0.25"/>
  <cols>
    <col min="1" max="1" width="14.109375" customWidth="1"/>
    <col min="2" max="2" width="7.88671875" customWidth="1"/>
  </cols>
  <sheetData>
    <row r="1" spans="1:2" x14ac:dyDescent="0.25">
      <c r="A1" s="1" t="s">
        <v>1</v>
      </c>
      <c r="B1" s="1" t="s">
        <v>29</v>
      </c>
    </row>
    <row r="2" spans="1:2" x14ac:dyDescent="0.25">
      <c r="A2" s="2" t="s">
        <v>4</v>
      </c>
      <c r="B2" s="2">
        <v>88</v>
      </c>
    </row>
    <row r="3" spans="1:2" x14ac:dyDescent="0.25">
      <c r="A3" s="34" t="s">
        <v>6</v>
      </c>
      <c r="B3" s="2">
        <v>85</v>
      </c>
    </row>
    <row r="4" spans="1:2" x14ac:dyDescent="0.25">
      <c r="A4" s="2" t="s">
        <v>8</v>
      </c>
      <c r="B4" s="2">
        <v>26</v>
      </c>
    </row>
    <row r="5" spans="1:2" x14ac:dyDescent="0.25">
      <c r="A5" s="2" t="s">
        <v>10</v>
      </c>
      <c r="B5" s="2">
        <v>30</v>
      </c>
    </row>
    <row r="6" spans="1:2" x14ac:dyDescent="0.25">
      <c r="A6" s="2" t="s">
        <v>12</v>
      </c>
      <c r="B6" s="2">
        <v>47</v>
      </c>
    </row>
    <row r="7" spans="1:2" x14ac:dyDescent="0.25">
      <c r="A7" s="2" t="s">
        <v>14</v>
      </c>
      <c r="B7" s="2">
        <v>61</v>
      </c>
    </row>
    <row r="8" spans="1:2" x14ac:dyDescent="0.25">
      <c r="A8" s="2" t="s">
        <v>16</v>
      </c>
      <c r="B8" s="2">
        <v>3</v>
      </c>
    </row>
    <row r="9" spans="1:2" x14ac:dyDescent="0.25">
      <c r="A9" s="2" t="s">
        <v>18</v>
      </c>
      <c r="B9" s="2">
        <v>28</v>
      </c>
    </row>
    <row r="10" spans="1:2" x14ac:dyDescent="0.25">
      <c r="A10" s="2" t="s">
        <v>20</v>
      </c>
      <c r="B10" s="2">
        <v>92</v>
      </c>
    </row>
    <row r="11" spans="1:2" x14ac:dyDescent="0.25">
      <c r="A11" s="2" t="s">
        <v>22</v>
      </c>
      <c r="B11" s="2">
        <v>63</v>
      </c>
    </row>
  </sheetData>
  <phoneticPr fontId="8" type="noConversion"/>
  <hyperlinks>
    <hyperlink ref="A3" r:id="rId1" xr:uid="{00000000-0004-0000-1000-000000000000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B11"/>
  <sheetViews>
    <sheetView showGridLines="0" topLeftCell="A7" workbookViewId="0">
      <selection activeCell="P15" sqref="P15"/>
    </sheetView>
  </sheetViews>
  <sheetFormatPr defaultColWidth="9" defaultRowHeight="13.8" x14ac:dyDescent="0.25"/>
  <cols>
    <col min="1" max="1" width="14.109375" customWidth="1"/>
    <col min="2" max="2" width="7.88671875" customWidth="1"/>
  </cols>
  <sheetData>
    <row r="1" spans="1:2" x14ac:dyDescent="0.25">
      <c r="A1" s="1" t="s">
        <v>1</v>
      </c>
      <c r="B1" s="1" t="s">
        <v>29</v>
      </c>
    </row>
    <row r="2" spans="1:2" x14ac:dyDescent="0.25">
      <c r="A2" s="2" t="s">
        <v>4</v>
      </c>
      <c r="B2" s="2">
        <v>20</v>
      </c>
    </row>
    <row r="3" spans="1:2" x14ac:dyDescent="0.25">
      <c r="A3" s="34" t="s">
        <v>6</v>
      </c>
      <c r="B3" s="2">
        <v>84</v>
      </c>
    </row>
    <row r="4" spans="1:2" x14ac:dyDescent="0.25">
      <c r="A4" s="2" t="s">
        <v>8</v>
      </c>
      <c r="B4" s="2">
        <v>36</v>
      </c>
    </row>
    <row r="5" spans="1:2" x14ac:dyDescent="0.25">
      <c r="A5" s="2" t="s">
        <v>10</v>
      </c>
      <c r="B5" s="2">
        <v>94</v>
      </c>
    </row>
    <row r="6" spans="1:2" x14ac:dyDescent="0.25">
      <c r="A6" s="2" t="s">
        <v>12</v>
      </c>
      <c r="B6" s="2">
        <v>51</v>
      </c>
    </row>
    <row r="7" spans="1:2" x14ac:dyDescent="0.25">
      <c r="A7" s="2" t="s">
        <v>14</v>
      </c>
      <c r="B7" s="2">
        <v>96</v>
      </c>
    </row>
    <row r="8" spans="1:2" x14ac:dyDescent="0.25">
      <c r="A8" s="2" t="s">
        <v>16</v>
      </c>
      <c r="B8" s="2">
        <v>77</v>
      </c>
    </row>
    <row r="9" spans="1:2" x14ac:dyDescent="0.25">
      <c r="A9" s="2" t="s">
        <v>18</v>
      </c>
      <c r="B9" s="2">
        <v>41</v>
      </c>
    </row>
    <row r="10" spans="1:2" x14ac:dyDescent="0.25">
      <c r="A10" s="2" t="s">
        <v>20</v>
      </c>
      <c r="B10" s="2">
        <v>57</v>
      </c>
    </row>
    <row r="11" spans="1:2" x14ac:dyDescent="0.25">
      <c r="A11" s="2" t="s">
        <v>22</v>
      </c>
      <c r="B11" s="2">
        <v>96</v>
      </c>
    </row>
  </sheetData>
  <phoneticPr fontId="8" type="noConversion"/>
  <hyperlinks>
    <hyperlink ref="A3" r:id="rId1" xr:uid="{00000000-0004-0000-0F00-000000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目录</vt:lpstr>
      <vt:lpstr>单条件精确查询</vt:lpstr>
      <vt:lpstr>屏蔽错误值</vt:lpstr>
      <vt:lpstr>单条件模糊查询</vt:lpstr>
      <vt:lpstr>区间查询</vt:lpstr>
      <vt:lpstr>从后往前查</vt:lpstr>
      <vt:lpstr>二进制查找</vt:lpstr>
      <vt:lpstr>横向查找</vt:lpstr>
      <vt:lpstr>忽略通配符查询</vt:lpstr>
      <vt:lpstr>返回标题排列顺序以致的多列结果</vt:lpstr>
      <vt:lpstr>返回标题排列不一致的多列结果</vt:lpstr>
      <vt:lpstr>多条件查询</vt:lpstr>
      <vt:lpstr>引用使用</vt:lpstr>
      <vt:lpstr>动态表查询</vt:lpstr>
      <vt:lpstr>2017年</vt:lpstr>
      <vt:lpstr>2019年</vt:lpstr>
      <vt:lpstr>2018年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Xinjian Guo</dc:creator>
  <cp:lastModifiedBy>shuai zhang</cp:lastModifiedBy>
  <dcterms:created xsi:type="dcterms:W3CDTF">2015-06-05T18:19:00Z</dcterms:created>
  <dcterms:modified xsi:type="dcterms:W3CDTF">2021-07-22T09:43:17Z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6390087C2A0241EB90987DB0F18BD7CC</vt:lpwstr>
  </property>
  <property fmtid="{D5CDD505-2E9C-101B-9397-08002B2CF9AE}" pid="3" name="KSOProductBuildVer">
    <vt:lpwstr>2052-11.1.0.10667</vt:lpwstr>
  </property>
</Properties>
</file>